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DELL\Downloads\Projects\Global freelancers\"/>
    </mc:Choice>
  </mc:AlternateContent>
  <xr:revisionPtr revIDLastSave="0" documentId="13_ncr:1_{23E1627D-5876-4916-8398-64EE27F80C31}" xr6:coauthVersionLast="47" xr6:coauthVersionMax="47" xr10:uidLastSave="{00000000-0000-0000-0000-000000000000}"/>
  <bookViews>
    <workbookView xWindow="2304" yWindow="2304" windowWidth="17280" windowHeight="8880" activeTab="3" xr2:uid="{00000000-000D-0000-FFFF-FFFF00000000}"/>
  </bookViews>
  <sheets>
    <sheet name="Raw data" sheetId="1" r:id="rId1"/>
    <sheet name="Clean data" sheetId="2" r:id="rId2"/>
    <sheet name="Pivot tables" sheetId="3" r:id="rId3"/>
    <sheet name="Dashboard" sheetId="7" r:id="rId4"/>
  </sheets>
  <definedNames>
    <definedName name="_xlnm._FilterDatabase" localSheetId="1" hidden="1">'Clean data'!$E$1:$E$1001</definedName>
    <definedName name="_xlnm._FilterDatabase" localSheetId="0" hidden="1">'Raw data'!$A$1:$M$1001</definedName>
    <definedName name="_xlchart.v5.0" hidden="1">'Pivot tables'!$S$12</definedName>
    <definedName name="_xlchart.v5.1" hidden="1">'Pivot tables'!$S$13:$S$33</definedName>
    <definedName name="_xlchart.v5.10" hidden="1">'Pivot tables'!$T$12</definedName>
    <definedName name="_xlchart.v5.11" hidden="1">'Pivot tables'!$T$13:$T$33</definedName>
    <definedName name="_xlchart.v5.12" hidden="1">'Pivot tables'!$S$12</definedName>
    <definedName name="_xlchart.v5.13" hidden="1">'Pivot tables'!$S$13:$S$33</definedName>
    <definedName name="_xlchart.v5.14" hidden="1">'Pivot tables'!$T$12</definedName>
    <definedName name="_xlchart.v5.15" hidden="1">'Pivot tables'!$T$13:$T$33</definedName>
    <definedName name="_xlchart.v5.16" hidden="1">'Pivot tables'!$S$12</definedName>
    <definedName name="_xlchart.v5.17" hidden="1">'Pivot tables'!$S$13:$S$33</definedName>
    <definedName name="_xlchart.v5.18" hidden="1">'Pivot tables'!$T$12</definedName>
    <definedName name="_xlchart.v5.19" hidden="1">'Pivot tables'!$T$13:$T$33</definedName>
    <definedName name="_xlchart.v5.2" hidden="1">'Pivot tables'!$T$12</definedName>
    <definedName name="_xlchart.v5.20" hidden="1">'Pivot tables'!$S$12</definedName>
    <definedName name="_xlchart.v5.21" hidden="1">'Pivot tables'!$S$13:$S$33</definedName>
    <definedName name="_xlchart.v5.22" hidden="1">'Pivot tables'!$T$12</definedName>
    <definedName name="_xlchart.v5.23" hidden="1">'Pivot tables'!$T$13:$T$33</definedName>
    <definedName name="_xlchart.v5.24" hidden="1">'Pivot tables'!$S$12</definedName>
    <definedName name="_xlchart.v5.25" hidden="1">'Pivot tables'!$S$13:$S$33</definedName>
    <definedName name="_xlchart.v5.26" hidden="1">'Pivot tables'!$T$12</definedName>
    <definedName name="_xlchart.v5.27" hidden="1">'Pivot tables'!$T$13:$T$33</definedName>
    <definedName name="_xlchart.v5.3" hidden="1">'Pivot tables'!$T$13:$T$33</definedName>
    <definedName name="_xlchart.v5.4" hidden="1">'Pivot tables'!$S$12</definedName>
    <definedName name="_xlchart.v5.5" hidden="1">'Pivot tables'!$S$13:$S$33</definedName>
    <definedName name="_xlchart.v5.6" hidden="1">'Pivot tables'!$T$12</definedName>
    <definedName name="_xlchart.v5.7" hidden="1">'Pivot tables'!$T$13:$T$33</definedName>
    <definedName name="_xlchart.v5.8" hidden="1">'Pivot tables'!$S$12</definedName>
    <definedName name="_xlchart.v5.9" hidden="1">'Pivot tables'!$S$13:$S$33</definedName>
    <definedName name="Slicer_Gender">#N/A</definedName>
    <definedName name="Slicer_Primary_Skill">#N/A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c r="I187" i="2" a="1"/>
  <c r="I187" i="2" s="1"/>
  <c r="I188" i="2" a="1"/>
  <c r="I188" i="2" s="1"/>
  <c r="I189" i="2" a="1"/>
  <c r="I189" i="2" s="1"/>
  <c r="I190" i="2" a="1"/>
  <c r="I190" i="2" s="1"/>
  <c r="I191" i="2" a="1"/>
  <c r="I191" i="2" s="1"/>
  <c r="I192" i="2" a="1"/>
  <c r="I192" i="2" s="1"/>
  <c r="I193" i="2" a="1"/>
  <c r="I193" i="2" s="1"/>
  <c r="I194" i="2" a="1"/>
  <c r="I194" i="2"/>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c r="I345" i="2" a="1"/>
  <c r="I345" i="2" s="1"/>
  <c r="I346" i="2" a="1"/>
  <c r="I346" i="2" s="1"/>
  <c r="I347" i="2" a="1"/>
  <c r="I347" i="2" s="1"/>
  <c r="I348" i="2" a="1"/>
  <c r="I348" i="2" s="1"/>
  <c r="I349" i="2" a="1"/>
  <c r="I349" i="2" s="1"/>
  <c r="I350" i="2" a="1"/>
  <c r="I350" i="2" s="1"/>
  <c r="I351" i="2" a="1"/>
  <c r="I351" i="2" s="1"/>
  <c r="I352" i="2" a="1"/>
  <c r="I352" i="2"/>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s="1"/>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s="1"/>
  <c r="I538" i="2" a="1"/>
  <c r="I538" i="2" s="1"/>
  <c r="I539" i="2" a="1"/>
  <c r="I539" i="2" s="1"/>
  <c r="I540" i="2" a="1"/>
  <c r="I540" i="2" s="1"/>
  <c r="I541" i="2" a="1"/>
  <c r="I541" i="2" s="1"/>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s="1"/>
  <c r="I572" i="2" a="1"/>
  <c r="I572" i="2" s="1"/>
  <c r="I573" i="2" a="1"/>
  <c r="I573" i="2" s="1"/>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s="1"/>
  <c r="I585" i="2" a="1"/>
  <c r="I585" i="2" s="1"/>
  <c r="I586" i="2" a="1"/>
  <c r="I586" i="2" s="1"/>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c r="I600" i="2" a="1"/>
  <c r="I600" i="2" s="1"/>
  <c r="I601" i="2" a="1"/>
  <c r="I601" i="2" s="1"/>
  <c r="I602" i="2" a="1"/>
  <c r="I602" i="2" s="1"/>
  <c r="I603" i="2" a="1"/>
  <c r="I603" i="2" s="1"/>
  <c r="I604" i="2" a="1"/>
  <c r="I604" i="2" s="1"/>
  <c r="I605" i="2" a="1"/>
  <c r="I605" i="2" s="1"/>
  <c r="I606" i="2" a="1"/>
  <c r="I606" i="2" s="1"/>
  <c r="I607" i="2" a="1"/>
  <c r="I607" i="2" s="1"/>
  <c r="I608" i="2" a="1"/>
  <c r="I608" i="2" s="1"/>
  <c r="I609" i="2" a="1"/>
  <c r="I609" i="2" s="1"/>
  <c r="I610" i="2" a="1"/>
  <c r="I610" i="2" s="1"/>
  <c r="I611" i="2" a="1"/>
  <c r="I611" i="2"/>
  <c r="I612" i="2" a="1"/>
  <c r="I612" i="2" s="1"/>
  <c r="I613" i="2" a="1"/>
  <c r="I613" i="2" s="1"/>
  <c r="I614" i="2" a="1"/>
  <c r="I614" i="2" s="1"/>
  <c r="I615" i="2" a="1"/>
  <c r="I615" i="2"/>
  <c r="I616" i="2" a="1"/>
  <c r="I616" i="2" s="1"/>
  <c r="I617" i="2" a="1"/>
  <c r="I617" i="2" s="1"/>
  <c r="I618" i="2" a="1"/>
  <c r="I618" i="2" s="1"/>
  <c r="I619" i="2" a="1"/>
  <c r="I619" i="2" s="1"/>
  <c r="I620" i="2" a="1"/>
  <c r="I620" i="2" s="1"/>
  <c r="I621" i="2" a="1"/>
  <c r="I621" i="2" s="1"/>
  <c r="I622" i="2" a="1"/>
  <c r="I622" i="2" s="1"/>
  <c r="I623" i="2" a="1"/>
  <c r="I623" i="2" s="1"/>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s="1"/>
  <c r="I643" i="2" a="1"/>
  <c r="I643" i="2" s="1"/>
  <c r="I644" i="2" a="1"/>
  <c r="I644" i="2" s="1"/>
  <c r="I645" i="2" a="1"/>
  <c r="I645" i="2" s="1"/>
  <c r="I646" i="2" a="1"/>
  <c r="I646" i="2" s="1"/>
  <c r="I647" i="2" a="1"/>
  <c r="I647" i="2" s="1"/>
  <c r="I648" i="2" a="1"/>
  <c r="I648" i="2" s="1"/>
  <c r="I649" i="2" a="1"/>
  <c r="I649" i="2" s="1"/>
  <c r="I650" i="2" a="1"/>
  <c r="I650" i="2" s="1"/>
  <c r="I651" i="2" a="1"/>
  <c r="I651" i="2" s="1"/>
  <c r="I652" i="2" a="1"/>
  <c r="I652" i="2" s="1"/>
  <c r="I653" i="2" a="1"/>
  <c r="I653" i="2" s="1"/>
  <c r="I654" i="2" a="1"/>
  <c r="I654" i="2" s="1"/>
  <c r="I655" i="2" a="1"/>
  <c r="I655" i="2" s="1"/>
  <c r="I656" i="2" a="1"/>
  <c r="I656" i="2" s="1"/>
  <c r="I657" i="2" a="1"/>
  <c r="I657" i="2" s="1"/>
  <c r="I658" i="2" a="1"/>
  <c r="I658" i="2" s="1"/>
  <c r="I659" i="2" a="1"/>
  <c r="I659" i="2" s="1"/>
  <c r="I660" i="2" a="1"/>
  <c r="I660" i="2" s="1"/>
  <c r="I661" i="2" a="1"/>
  <c r="I661" i="2" s="1"/>
  <c r="I662" i="2" a="1"/>
  <c r="I662" i="2" s="1"/>
  <c r="I663" i="2" a="1"/>
  <c r="I663" i="2" s="1"/>
  <c r="I664" i="2" a="1"/>
  <c r="I664" i="2" s="1"/>
  <c r="I665" i="2" a="1"/>
  <c r="I665" i="2" s="1"/>
  <c r="I666" i="2" a="1"/>
  <c r="I666" i="2" s="1"/>
  <c r="I667" i="2" a="1"/>
  <c r="I667" i="2" s="1"/>
  <c r="I668" i="2" a="1"/>
  <c r="I668" i="2" s="1"/>
  <c r="I669" i="2" a="1"/>
  <c r="I669" i="2" s="1"/>
  <c r="I670" i="2" a="1"/>
  <c r="I670" i="2" s="1"/>
  <c r="I671" i="2" a="1"/>
  <c r="I671" i="2" s="1"/>
  <c r="I672" i="2" a="1"/>
  <c r="I672" i="2" s="1"/>
  <c r="I673" i="2" a="1"/>
  <c r="I673" i="2" s="1"/>
  <c r="I674" i="2" a="1"/>
  <c r="I674" i="2" s="1"/>
  <c r="I675" i="2" a="1"/>
  <c r="I675" i="2"/>
  <c r="I676" i="2" a="1"/>
  <c r="I676" i="2" s="1"/>
  <c r="I677" i="2" a="1"/>
  <c r="I677" i="2" s="1"/>
  <c r="I678" i="2" a="1"/>
  <c r="I678" i="2" s="1"/>
  <c r="I679" i="2" a="1"/>
  <c r="I679" i="2" s="1"/>
  <c r="I680" i="2" a="1"/>
  <c r="I680" i="2" s="1"/>
  <c r="I681" i="2" a="1"/>
  <c r="I681" i="2" s="1"/>
  <c r="I682" i="2" a="1"/>
  <c r="I682" i="2" s="1"/>
  <c r="I683" i="2" a="1"/>
  <c r="I683" i="2" s="1"/>
  <c r="I684" i="2" a="1"/>
  <c r="I684" i="2" s="1"/>
  <c r="I685" i="2" a="1"/>
  <c r="I685" i="2" s="1"/>
  <c r="I686" i="2" a="1"/>
  <c r="I686" i="2" s="1"/>
  <c r="I687" i="2" a="1"/>
  <c r="I687" i="2" s="1"/>
  <c r="I688" i="2" a="1"/>
  <c r="I688" i="2" s="1"/>
  <c r="I689" i="2" a="1"/>
  <c r="I689" i="2" s="1"/>
  <c r="I690" i="2" a="1"/>
  <c r="I690" i="2" s="1"/>
  <c r="I691" i="2" a="1"/>
  <c r="I691" i="2" s="1"/>
  <c r="I692" i="2" a="1"/>
  <c r="I692" i="2" s="1"/>
  <c r="I693" i="2" a="1"/>
  <c r="I693" i="2" s="1"/>
  <c r="I694" i="2" a="1"/>
  <c r="I694" i="2" s="1"/>
  <c r="I695" i="2" a="1"/>
  <c r="I695" i="2" s="1"/>
  <c r="I696" i="2" a="1"/>
  <c r="I696" i="2" s="1"/>
  <c r="I697" i="2" a="1"/>
  <c r="I697" i="2" s="1"/>
  <c r="I698" i="2" a="1"/>
  <c r="I698" i="2" s="1"/>
  <c r="I699" i="2" a="1"/>
  <c r="I699" i="2" s="1"/>
  <c r="I700" i="2" a="1"/>
  <c r="I700" i="2" s="1"/>
  <c r="I701" i="2" a="1"/>
  <c r="I701" i="2" s="1"/>
  <c r="I702" i="2" a="1"/>
  <c r="I702" i="2" s="1"/>
  <c r="I703" i="2" a="1"/>
  <c r="I703" i="2"/>
  <c r="I704" i="2" a="1"/>
  <c r="I704" i="2" s="1"/>
  <c r="I705" i="2" a="1"/>
  <c r="I705" i="2" s="1"/>
  <c r="I706" i="2" a="1"/>
  <c r="I706" i="2" s="1"/>
  <c r="I707" i="2" a="1"/>
  <c r="I707" i="2" s="1"/>
  <c r="I708" i="2" a="1"/>
  <c r="I708" i="2" s="1"/>
  <c r="I709" i="2" a="1"/>
  <c r="I709" i="2" s="1"/>
  <c r="I710" i="2" a="1"/>
  <c r="I710" i="2" s="1"/>
  <c r="I711" i="2" a="1"/>
  <c r="I711" i="2" s="1"/>
  <c r="I712" i="2" a="1"/>
  <c r="I712" i="2" s="1"/>
  <c r="I713" i="2" a="1"/>
  <c r="I713" i="2"/>
  <c r="I714" i="2" a="1"/>
  <c r="I714" i="2" s="1"/>
  <c r="I715" i="2" a="1"/>
  <c r="I715" i="2"/>
  <c r="I716" i="2" a="1"/>
  <c r="I716" i="2" s="1"/>
  <c r="I717" i="2" a="1"/>
  <c r="I717" i="2" s="1"/>
  <c r="I718" i="2" a="1"/>
  <c r="I718" i="2" s="1"/>
  <c r="I719" i="2" a="1"/>
  <c r="I719" i="2" s="1"/>
  <c r="I720" i="2" a="1"/>
  <c r="I720" i="2" s="1"/>
  <c r="I721" i="2" a="1"/>
  <c r="I721" i="2" s="1"/>
  <c r="I722" i="2" a="1"/>
  <c r="I722" i="2" s="1"/>
  <c r="I723" i="2" a="1"/>
  <c r="I723" i="2" s="1"/>
  <c r="I724" i="2" a="1"/>
  <c r="I724" i="2" s="1"/>
  <c r="I725" i="2" a="1"/>
  <c r="I725" i="2" s="1"/>
  <c r="I726" i="2" a="1"/>
  <c r="I726" i="2" s="1"/>
  <c r="I727" i="2" a="1"/>
  <c r="I727" i="2" s="1"/>
  <c r="I728" i="2" a="1"/>
  <c r="I728" i="2" s="1"/>
  <c r="I729" i="2" a="1"/>
  <c r="I729" i="2" s="1"/>
  <c r="I730" i="2" a="1"/>
  <c r="I730" i="2"/>
  <c r="I731" i="2" a="1"/>
  <c r="I731" i="2" s="1"/>
  <c r="I732" i="2" a="1"/>
  <c r="I732" i="2" s="1"/>
  <c r="I733" i="2" a="1"/>
  <c r="I733" i="2" s="1"/>
  <c r="I734" i="2" a="1"/>
  <c r="I734" i="2" s="1"/>
  <c r="I735" i="2" a="1"/>
  <c r="I735" i="2" s="1"/>
  <c r="I736" i="2" a="1"/>
  <c r="I736" i="2" s="1"/>
  <c r="I737" i="2" a="1"/>
  <c r="I737" i="2" s="1"/>
  <c r="I738" i="2" a="1"/>
  <c r="I738" i="2" s="1"/>
  <c r="I739" i="2" a="1"/>
  <c r="I739" i="2"/>
  <c r="I740" i="2" a="1"/>
  <c r="I740" i="2" s="1"/>
  <c r="I741" i="2" a="1"/>
  <c r="I741" i="2" s="1"/>
  <c r="I742" i="2" a="1"/>
  <c r="I742" i="2" s="1"/>
  <c r="I743" i="2" a="1"/>
  <c r="I743" i="2" s="1"/>
  <c r="I744" i="2" a="1"/>
  <c r="I744" i="2" s="1"/>
  <c r="I745" i="2" a="1"/>
  <c r="I745" i="2" s="1"/>
  <c r="I746" i="2" a="1"/>
  <c r="I746" i="2" s="1"/>
  <c r="I747" i="2" a="1"/>
  <c r="I747" i="2" s="1"/>
  <c r="I748" i="2" a="1"/>
  <c r="I748" i="2" s="1"/>
  <c r="I749" i="2" a="1"/>
  <c r="I749" i="2" s="1"/>
  <c r="I750" i="2" a="1"/>
  <c r="I750" i="2" s="1"/>
  <c r="I751" i="2" a="1"/>
  <c r="I751" i="2" s="1"/>
  <c r="I752" i="2" a="1"/>
  <c r="I752" i="2" s="1"/>
  <c r="I753" i="2" a="1"/>
  <c r="I753" i="2" s="1"/>
  <c r="I754" i="2" a="1"/>
  <c r="I754" i="2" s="1"/>
  <c r="I755" i="2" a="1"/>
  <c r="I755" i="2" s="1"/>
  <c r="I756" i="2" a="1"/>
  <c r="I756" i="2" s="1"/>
  <c r="I757" i="2" a="1"/>
  <c r="I757" i="2" s="1"/>
  <c r="I758" i="2" a="1"/>
  <c r="I758" i="2" s="1"/>
  <c r="I759" i="2" a="1"/>
  <c r="I759" i="2" s="1"/>
  <c r="I760" i="2" a="1"/>
  <c r="I760" i="2" s="1"/>
  <c r="I761" i="2" a="1"/>
  <c r="I761" i="2" s="1"/>
  <c r="I762" i="2" a="1"/>
  <c r="I762" i="2" s="1"/>
  <c r="I763" i="2" a="1"/>
  <c r="I763" i="2" s="1"/>
  <c r="I764" i="2" a="1"/>
  <c r="I764" i="2" s="1"/>
  <c r="I765" i="2" a="1"/>
  <c r="I765" i="2" s="1"/>
  <c r="I766" i="2" a="1"/>
  <c r="I766" i="2" s="1"/>
  <c r="I767" i="2" a="1"/>
  <c r="I767" i="2"/>
  <c r="I768" i="2" a="1"/>
  <c r="I768" i="2" s="1"/>
  <c r="I769" i="2" a="1"/>
  <c r="I769" i="2" s="1"/>
  <c r="I770" i="2" a="1"/>
  <c r="I770" i="2" s="1"/>
  <c r="I771" i="2" a="1"/>
  <c r="I771" i="2" s="1"/>
  <c r="I772" i="2" a="1"/>
  <c r="I772" i="2" s="1"/>
  <c r="I773" i="2" a="1"/>
  <c r="I773" i="2" s="1"/>
  <c r="I774" i="2" a="1"/>
  <c r="I774" i="2" s="1"/>
  <c r="I775" i="2" a="1"/>
  <c r="I775" i="2" s="1"/>
  <c r="I776" i="2" a="1"/>
  <c r="I776" i="2" s="1"/>
  <c r="I777" i="2" a="1"/>
  <c r="I777" i="2"/>
  <c r="I778" i="2" a="1"/>
  <c r="I778" i="2" s="1"/>
  <c r="I779" i="2" a="1"/>
  <c r="I779" i="2"/>
  <c r="I780" i="2" a="1"/>
  <c r="I780" i="2" s="1"/>
  <c r="I781" i="2" a="1"/>
  <c r="I781" i="2" s="1"/>
  <c r="I782" i="2" a="1"/>
  <c r="I782" i="2" s="1"/>
  <c r="I783" i="2" a="1"/>
  <c r="I783" i="2" s="1"/>
  <c r="I784" i="2" a="1"/>
  <c r="I784" i="2" s="1"/>
  <c r="I785" i="2" a="1"/>
  <c r="I785" i="2" s="1"/>
  <c r="I786" i="2" a="1"/>
  <c r="I786" i="2" s="1"/>
  <c r="I787" i="2" a="1"/>
  <c r="I787" i="2" s="1"/>
  <c r="I788" i="2" a="1"/>
  <c r="I788" i="2" s="1"/>
  <c r="I789" i="2" a="1"/>
  <c r="I789" i="2" s="1"/>
  <c r="I790" i="2" a="1"/>
  <c r="I790" i="2" s="1"/>
  <c r="I791" i="2" a="1"/>
  <c r="I791" i="2" s="1"/>
  <c r="I792" i="2" a="1"/>
  <c r="I792" i="2" s="1"/>
  <c r="I793" i="2" a="1"/>
  <c r="I793" i="2" s="1"/>
  <c r="I794" i="2" a="1"/>
  <c r="I794" i="2"/>
  <c r="I795" i="2" a="1"/>
  <c r="I795" i="2" s="1"/>
  <c r="I796" i="2" a="1"/>
  <c r="I796" i="2" s="1"/>
  <c r="I797" i="2" a="1"/>
  <c r="I797" i="2" s="1"/>
  <c r="I798" i="2" a="1"/>
  <c r="I798" i="2" s="1"/>
  <c r="I799" i="2" a="1"/>
  <c r="I799" i="2" s="1"/>
  <c r="I800" i="2" a="1"/>
  <c r="I800" i="2" s="1"/>
  <c r="I801" i="2" a="1"/>
  <c r="I801" i="2" s="1"/>
  <c r="I802" i="2" a="1"/>
  <c r="I802" i="2" s="1"/>
  <c r="I803" i="2" a="1"/>
  <c r="I803" i="2"/>
  <c r="I804" i="2" a="1"/>
  <c r="I804" i="2" s="1"/>
  <c r="I805" i="2" a="1"/>
  <c r="I805" i="2" s="1"/>
  <c r="I806" i="2" a="1"/>
  <c r="I806" i="2" s="1"/>
  <c r="I807" i="2" a="1"/>
  <c r="I807" i="2" s="1"/>
  <c r="I808" i="2" a="1"/>
  <c r="I808" i="2" s="1"/>
  <c r="I809" i="2" a="1"/>
  <c r="I809" i="2" s="1"/>
  <c r="I810" i="2" a="1"/>
  <c r="I810" i="2" s="1"/>
  <c r="I811" i="2" a="1"/>
  <c r="I811" i="2" s="1"/>
  <c r="I812" i="2" a="1"/>
  <c r="I812" i="2" s="1"/>
  <c r="I813" i="2" a="1"/>
  <c r="I813" i="2" s="1"/>
  <c r="I814" i="2" a="1"/>
  <c r="I814" i="2" s="1"/>
  <c r="I815" i="2" a="1"/>
  <c r="I815" i="2" s="1"/>
  <c r="I816" i="2" a="1"/>
  <c r="I816" i="2" s="1"/>
  <c r="I817" i="2" a="1"/>
  <c r="I817" i="2" s="1"/>
  <c r="I818" i="2" a="1"/>
  <c r="I818" i="2" s="1"/>
  <c r="I819" i="2" a="1"/>
  <c r="I819" i="2" s="1"/>
  <c r="I820" i="2" a="1"/>
  <c r="I820" i="2" s="1"/>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c r="I832" i="2" a="1"/>
  <c r="I832" i="2" s="1"/>
  <c r="I833" i="2" a="1"/>
  <c r="I833" i="2" s="1"/>
  <c r="I834" i="2" a="1"/>
  <c r="I834" i="2" s="1"/>
  <c r="I835" i="2" a="1"/>
  <c r="I835" i="2" s="1"/>
  <c r="I836" i="2" a="1"/>
  <c r="I836" i="2" s="1"/>
  <c r="I837" i="2" a="1"/>
  <c r="I837" i="2" s="1"/>
  <c r="I838" i="2" a="1"/>
  <c r="I838" i="2" s="1"/>
  <c r="I839" i="2" a="1"/>
  <c r="I839" i="2" s="1"/>
  <c r="I840" i="2" a="1"/>
  <c r="I840" i="2" s="1"/>
  <c r="I841" i="2" a="1"/>
  <c r="I841" i="2"/>
  <c r="I842" i="2" a="1"/>
  <c r="I842" i="2" s="1"/>
  <c r="I843" i="2" a="1"/>
  <c r="I843" i="2"/>
  <c r="I844" i="2" a="1"/>
  <c r="I844" i="2" s="1"/>
  <c r="I845" i="2" a="1"/>
  <c r="I845" i="2" s="1"/>
  <c r="I846" i="2" a="1"/>
  <c r="I846" i="2" s="1"/>
  <c r="I847" i="2" a="1"/>
  <c r="I847" i="2" s="1"/>
  <c r="I848" i="2" a="1"/>
  <c r="I848" i="2" s="1"/>
  <c r="I849" i="2" a="1"/>
  <c r="I849" i="2" s="1"/>
  <c r="I850" i="2" a="1"/>
  <c r="I850" i="2" s="1"/>
  <c r="I851" i="2" a="1"/>
  <c r="I851" i="2" s="1"/>
  <c r="I852" i="2" a="1"/>
  <c r="I852" i="2" s="1"/>
  <c r="I853" i="2" a="1"/>
  <c r="I853" i="2" s="1"/>
  <c r="I854" i="2" a="1"/>
  <c r="I854" i="2" s="1"/>
  <c r="I855" i="2" a="1"/>
  <c r="I855" i="2" s="1"/>
  <c r="I856" i="2" a="1"/>
  <c r="I856" i="2" s="1"/>
  <c r="I857" i="2" a="1"/>
  <c r="I857" i="2" s="1"/>
  <c r="I858" i="2" a="1"/>
  <c r="I858" i="2" s="1"/>
  <c r="I859" i="2" a="1"/>
  <c r="I859" i="2" s="1"/>
  <c r="I860" i="2" a="1"/>
  <c r="I860" i="2" s="1"/>
  <c r="I861" i="2" a="1"/>
  <c r="I861" i="2" s="1"/>
  <c r="I862" i="2" a="1"/>
  <c r="I862" i="2" s="1"/>
  <c r="I863" i="2" a="1"/>
  <c r="I863" i="2" s="1"/>
  <c r="I864" i="2" a="1"/>
  <c r="I864" i="2" s="1"/>
  <c r="I865" i="2" a="1"/>
  <c r="I865" i="2" s="1"/>
  <c r="I866" i="2" a="1"/>
  <c r="I866" i="2"/>
  <c r="I867" i="2" a="1"/>
  <c r="I867" i="2"/>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s="1"/>
  <c r="I882" i="2" a="1"/>
  <c r="I882" i="2"/>
  <c r="I883" i="2" a="1"/>
  <c r="I883" i="2" s="1"/>
  <c r="I884" i="2" a="1"/>
  <c r="I884" i="2" s="1"/>
  <c r="I885" i="2" a="1"/>
  <c r="I885" i="2" s="1"/>
  <c r="I886" i="2" a="1"/>
  <c r="I886" i="2" s="1"/>
  <c r="I887" i="2" a="1"/>
  <c r="I887" i="2" s="1"/>
  <c r="I888" i="2" a="1"/>
  <c r="I888" i="2" s="1"/>
  <c r="I889" i="2" a="1"/>
  <c r="I889" i="2" s="1"/>
  <c r="I890" i="2" a="1"/>
  <c r="I890" i="2" s="1"/>
  <c r="I891" i="2" a="1"/>
  <c r="I891" i="2" s="1"/>
  <c r="I892" i="2" a="1"/>
  <c r="I892" i="2" s="1"/>
  <c r="I893" i="2" a="1"/>
  <c r="I893" i="2" s="1"/>
  <c r="I894" i="2" a="1"/>
  <c r="I894" i="2" s="1"/>
  <c r="I895" i="2" a="1"/>
  <c r="I895" i="2"/>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c r="I908" i="2" a="1"/>
  <c r="I908" i="2" s="1"/>
  <c r="I909" i="2" a="1"/>
  <c r="I909" i="2" s="1"/>
  <c r="I910" i="2" a="1"/>
  <c r="I910" i="2" s="1"/>
  <c r="I911" i="2" a="1"/>
  <c r="I911" i="2" s="1"/>
  <c r="I912" i="2" a="1"/>
  <c r="I912" i="2" s="1"/>
  <c r="I913" i="2" a="1"/>
  <c r="I913" i="2" s="1"/>
  <c r="I914" i="2" a="1"/>
  <c r="I914" i="2" s="1"/>
  <c r="I915" i="2" a="1"/>
  <c r="I915" i="2" s="1"/>
  <c r="I916" i="2" a="1"/>
  <c r="I916" i="2" s="1"/>
  <c r="I917" i="2" a="1"/>
  <c r="I917" i="2" s="1"/>
  <c r="I918" i="2" a="1"/>
  <c r="I918" i="2" s="1"/>
  <c r="I919" i="2" a="1"/>
  <c r="I919" i="2" s="1"/>
  <c r="I920" i="2" a="1"/>
  <c r="I920" i="2" s="1"/>
  <c r="I921" i="2" a="1"/>
  <c r="I921" i="2" s="1"/>
  <c r="I922" i="2" a="1"/>
  <c r="I922" i="2" s="1"/>
  <c r="I923" i="2" a="1"/>
  <c r="I923" i="2" s="1"/>
  <c r="I924" i="2" a="1"/>
  <c r="I924" i="2" s="1"/>
  <c r="I925" i="2" a="1"/>
  <c r="I925" i="2" s="1"/>
  <c r="I926" i="2" a="1"/>
  <c r="I926" i="2" s="1"/>
  <c r="I927" i="2" a="1"/>
  <c r="I927" i="2" s="1"/>
  <c r="I928" i="2" a="1"/>
  <c r="I928" i="2" s="1"/>
  <c r="I929" i="2" a="1"/>
  <c r="I929" i="2" s="1"/>
  <c r="I930" i="2" a="1"/>
  <c r="I930" i="2" s="1"/>
  <c r="I931" i="2" a="1"/>
  <c r="I931" i="2"/>
  <c r="I932" i="2" a="1"/>
  <c r="I932" i="2" s="1"/>
  <c r="I933" i="2" a="1"/>
  <c r="I933" i="2" s="1"/>
  <c r="I934" i="2" a="1"/>
  <c r="I934" i="2" s="1"/>
  <c r="I935" i="2" a="1"/>
  <c r="I935" i="2" s="1"/>
  <c r="I936" i="2" a="1"/>
  <c r="I936" i="2" s="1"/>
  <c r="I937" i="2" a="1"/>
  <c r="I937" i="2" s="1"/>
  <c r="I938" i="2" a="1"/>
  <c r="I938" i="2"/>
  <c r="I939" i="2" a="1"/>
  <c r="I939" i="2" s="1"/>
  <c r="I940" i="2" a="1"/>
  <c r="I940" i="2" s="1"/>
  <c r="I941" i="2" a="1"/>
  <c r="I941" i="2" s="1"/>
  <c r="I942" i="2" a="1"/>
  <c r="I942" i="2" s="1"/>
  <c r="I943" i="2" a="1"/>
  <c r="I943" i="2" s="1"/>
  <c r="I944" i="2" a="1"/>
  <c r="I944" i="2" s="1"/>
  <c r="I945" i="2" a="1"/>
  <c r="I945" i="2" s="1"/>
  <c r="I946" i="2" a="1"/>
  <c r="I946" i="2" s="1"/>
  <c r="I947" i="2" a="1"/>
  <c r="I947" i="2" s="1"/>
  <c r="I948" i="2" a="1"/>
  <c r="I948" i="2" s="1"/>
  <c r="I949" i="2" a="1"/>
  <c r="I949" i="2" s="1"/>
  <c r="I950" i="2" a="1"/>
  <c r="I950" i="2" s="1"/>
  <c r="I951" i="2" a="1"/>
  <c r="I951" i="2" s="1"/>
  <c r="I952" i="2" a="1"/>
  <c r="I952" i="2" s="1"/>
  <c r="I953" i="2" a="1"/>
  <c r="I953" i="2" s="1"/>
  <c r="I954" i="2" a="1"/>
  <c r="I954" i="2"/>
  <c r="I955" i="2" a="1"/>
  <c r="I955" i="2" s="1"/>
  <c r="I956" i="2" a="1"/>
  <c r="I956" i="2"/>
  <c r="I957" i="2" a="1"/>
  <c r="I957" i="2" s="1"/>
  <c r="I958" i="2" a="1"/>
  <c r="I958" i="2" s="1"/>
  <c r="I959" i="2" a="1"/>
  <c r="I959" i="2" s="1"/>
  <c r="I960" i="2" a="1"/>
  <c r="I960" i="2" s="1"/>
  <c r="I961" i="2" a="1"/>
  <c r="I961" i="2" s="1"/>
  <c r="I962" i="2" a="1"/>
  <c r="I962" i="2"/>
  <c r="I963" i="2" a="1"/>
  <c r="I963" i="2" s="1"/>
  <c r="I964" i="2" a="1"/>
  <c r="I964" i="2" s="1"/>
  <c r="I965" i="2" a="1"/>
  <c r="I965" i="2" s="1"/>
  <c r="I966" i="2" a="1"/>
  <c r="I966" i="2" s="1"/>
  <c r="I967" i="2" a="1"/>
  <c r="I967" i="2" s="1"/>
  <c r="I968" i="2" a="1"/>
  <c r="I968" i="2" s="1"/>
  <c r="I969" i="2" a="1"/>
  <c r="I969" i="2" s="1"/>
  <c r="I970" i="2" a="1"/>
  <c r="I970" i="2" s="1"/>
  <c r="I971" i="2" a="1"/>
  <c r="I971" i="2"/>
  <c r="I972" i="2" a="1"/>
  <c r="I972" i="2"/>
  <c r="I973" i="2" a="1"/>
  <c r="I973" i="2" s="1"/>
  <c r="I974" i="2" a="1"/>
  <c r="I974" i="2" s="1"/>
  <c r="I975" i="2" a="1"/>
  <c r="I975" i="2" s="1"/>
  <c r="I976" i="2" a="1"/>
  <c r="I976" i="2" s="1"/>
  <c r="I977" i="2" a="1"/>
  <c r="I977" i="2" s="1"/>
  <c r="I978" i="2" a="1"/>
  <c r="I978" i="2" s="1"/>
  <c r="I979" i="2" a="1"/>
  <c r="I979" i="2" s="1"/>
  <c r="I980" i="2" a="1"/>
  <c r="I980" i="2"/>
  <c r="I981" i="2" a="1"/>
  <c r="I981" i="2" s="1"/>
  <c r="I982" i="2" a="1"/>
  <c r="I982" i="2" s="1"/>
  <c r="I983" i="2" a="1"/>
  <c r="I983" i="2" s="1"/>
  <c r="I984" i="2" a="1"/>
  <c r="I984" i="2" s="1"/>
  <c r="I985" i="2" a="1"/>
  <c r="I985" i="2" s="1"/>
  <c r="I986" i="2" a="1"/>
  <c r="I986" i="2" s="1"/>
  <c r="I987" i="2" a="1"/>
  <c r="I987" i="2" s="1"/>
  <c r="I988" i="2" a="1"/>
  <c r="I988" i="2" s="1"/>
  <c r="I989" i="2" a="1"/>
  <c r="I989" i="2" s="1"/>
  <c r="I990" i="2" a="1"/>
  <c r="I990" i="2" s="1"/>
  <c r="I991" i="2" a="1"/>
  <c r="I991" i="2" s="1"/>
  <c r="I992" i="2" a="1"/>
  <c r="I992" i="2" s="1"/>
  <c r="I993" i="2" a="1"/>
  <c r="I993" i="2" s="1"/>
  <c r="I994" i="2" a="1"/>
  <c r="I994" i="2" s="1"/>
  <c r="I995" i="2" a="1"/>
  <c r="I995" i="2" s="1"/>
  <c r="I996" i="2" a="1"/>
  <c r="I996" i="2"/>
  <c r="I997" i="2" a="1"/>
  <c r="I997" i="2" s="1"/>
  <c r="I998" i="2" a="1"/>
  <c r="I998" i="2" s="1"/>
  <c r="I999" i="2" a="1"/>
  <c r="I999" i="2" s="1"/>
  <c r="I1000" i="2" a="1"/>
  <c r="I1000" i="2"/>
  <c r="I1001" i="2" a="1"/>
  <c r="I1001" i="2" s="1"/>
  <c r="I2" i="2" a="1"/>
  <c r="I2" i="2" s="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965" i="1"/>
  <c r="C924" i="1"/>
  <c r="C881" i="1"/>
  <c r="C878" i="1"/>
  <c r="C810" i="1"/>
  <c r="C602" i="1"/>
  <c r="C463" i="1"/>
  <c r="C454" i="1"/>
  <c r="C433" i="1"/>
  <c r="C401" i="1"/>
  <c r="C399" i="1"/>
  <c r="C311" i="1"/>
  <c r="C284" i="1"/>
  <c r="C275" i="1"/>
  <c r="C48"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<sst xmlns="http://schemas.openxmlformats.org/spreadsheetml/2006/main" count="13598" uniqueCount="2129">
  <si>
    <t>freelancer_ID</t>
  </si>
  <si>
    <t>gender</t>
  </si>
  <si>
    <t>age</t>
  </si>
  <si>
    <t>country</t>
  </si>
  <si>
    <t>language</t>
  </si>
  <si>
    <t>primary_skill</t>
  </si>
  <si>
    <t>years_of_experience</t>
  </si>
  <si>
    <t>hourly_rate (USD)</t>
  </si>
  <si>
    <t>rating</t>
  </si>
  <si>
    <t>is_active</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</si>
  <si>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</si>
  <si>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</si>
  <si>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</si>
  <si>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</si>
  <si>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</si>
  <si>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</si>
  <si>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</si>
  <si>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</si>
  <si>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</si>
  <si>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</si>
  <si>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</si>
  <si>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</si>
  <si>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</si>
  <si>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</si>
  <si>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</si>
  <si>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</si>
  <si>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</si>
  <si>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</si>
  <si>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</si>
  <si>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</si>
  <si>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</si>
  <si>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</si>
  <si>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</si>
  <si>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</si>
  <si>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</si>
  <si>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FL250005</t>
  </si>
  <si>
    <t>Lynn Curtis DDS</t>
  </si>
  <si>
    <t>female</t>
  </si>
  <si>
    <t>FL250006</t>
  </si>
  <si>
    <t>Lisa Johnson</t>
  </si>
  <si>
    <t>Netherlands</t>
  </si>
  <si>
    <t>Dutch</t>
  </si>
  <si>
    <t>AI</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</si>
  <si>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</si>
  <si>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</si>
  <si>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</si>
  <si>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</si>
  <si>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</si>
  <si>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</si>
  <si>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</si>
  <si>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</si>
  <si>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</si>
  <si>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</si>
  <si>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</si>
  <si>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</si>
  <si>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</si>
  <si>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</si>
  <si>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</si>
  <si>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</si>
  <si>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</si>
  <si>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</si>
  <si>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</si>
  <si>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</si>
  <si>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</si>
  <si>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</si>
  <si>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</si>
  <si>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</si>
  <si>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</si>
  <si>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</si>
  <si>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</si>
  <si>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</si>
  <si>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</si>
  <si>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</si>
  <si>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</si>
  <si>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</si>
  <si>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</si>
  <si>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</si>
  <si>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</si>
  <si>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</si>
  <si>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</si>
  <si>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</si>
  <si>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</si>
  <si>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</si>
  <si>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</si>
  <si>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</si>
  <si>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</si>
  <si>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</si>
  <si>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</si>
  <si>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</si>
  <si>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</si>
  <si>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</si>
  <si>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</si>
  <si>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</si>
  <si>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</si>
  <si>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</si>
  <si>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</si>
  <si>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</si>
  <si>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</si>
  <si>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</si>
  <si>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</si>
  <si>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</si>
  <si>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</si>
  <si>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</si>
  <si>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</si>
  <si>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</si>
  <si>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</si>
  <si>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</si>
  <si>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</si>
  <si>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</si>
  <si>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</si>
  <si>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</si>
  <si>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</si>
  <si>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</si>
  <si>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</si>
  <si>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</si>
  <si>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</si>
  <si>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</si>
  <si>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</si>
  <si>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</si>
  <si>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</si>
  <si>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</si>
  <si>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</si>
  <si>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</si>
  <si>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</si>
  <si>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</si>
  <si>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</si>
  <si>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</si>
  <si>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</si>
  <si>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</si>
  <si>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</si>
  <si>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</si>
  <si>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</si>
  <si>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</si>
  <si>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</si>
  <si>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</si>
  <si>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</si>
  <si>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</si>
  <si>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</si>
  <si>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</si>
  <si>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</si>
  <si>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</si>
  <si>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</si>
  <si>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</si>
  <si>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</si>
  <si>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</si>
  <si>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</si>
  <si>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</si>
  <si>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</si>
  <si>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</si>
  <si>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</si>
  <si>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</si>
  <si>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</si>
  <si>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</si>
  <si>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</si>
  <si>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</si>
  <si>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</si>
  <si>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</si>
  <si>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</si>
  <si>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</si>
  <si>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</si>
  <si>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</si>
  <si>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</si>
  <si>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</si>
  <si>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</si>
  <si>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</si>
  <si>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</si>
  <si>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</si>
  <si>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</si>
  <si>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</si>
  <si>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</si>
  <si>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</si>
  <si>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</si>
  <si>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</si>
  <si>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</si>
  <si>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</si>
  <si>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</si>
  <si>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</si>
  <si>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</si>
  <si>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</si>
  <si>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</si>
  <si>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</si>
  <si>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</si>
  <si>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</si>
  <si>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</si>
  <si>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</si>
  <si>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</si>
  <si>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</si>
  <si>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</si>
  <si>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</si>
  <si>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</si>
  <si>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</si>
  <si>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</si>
  <si>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</si>
  <si>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</si>
  <si>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</si>
  <si>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</si>
  <si>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</si>
  <si>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</si>
  <si>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</si>
  <si>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</si>
  <si>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</si>
  <si>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</si>
  <si>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</si>
  <si>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</si>
  <si>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</si>
  <si>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</si>
  <si>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</si>
  <si>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</si>
  <si>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</si>
  <si>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</si>
  <si>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</si>
  <si>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</si>
  <si>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</si>
  <si>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</si>
  <si>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</si>
  <si>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</si>
  <si>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</si>
  <si>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</si>
  <si>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</si>
  <si>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</si>
  <si>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</si>
  <si>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</si>
  <si>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</si>
  <si>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</si>
  <si>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</si>
  <si>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</si>
  <si>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</si>
  <si>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</si>
  <si>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</si>
  <si>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</si>
  <si>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</si>
  <si>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</si>
  <si>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</si>
  <si>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</si>
  <si>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</si>
  <si>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</si>
  <si>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</si>
  <si>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</si>
  <si>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</si>
  <si>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</si>
  <si>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</si>
  <si>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</si>
  <si>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</si>
  <si>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</si>
  <si>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</si>
  <si>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</si>
  <si>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</si>
  <si>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</si>
  <si>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</si>
  <si>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</si>
  <si>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</si>
  <si>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</si>
  <si>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</si>
  <si>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</si>
  <si>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</si>
  <si>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</si>
  <si>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</si>
  <si>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</si>
  <si>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</si>
  <si>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</si>
  <si>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</si>
  <si>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</si>
  <si>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</si>
  <si>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</si>
  <si>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</si>
  <si>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</si>
  <si>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</si>
  <si>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</si>
  <si>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</si>
  <si>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</si>
  <si>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</si>
  <si>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</si>
  <si>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</si>
  <si>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</si>
  <si>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</si>
  <si>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</si>
  <si>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</si>
  <si>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</si>
  <si>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</si>
  <si>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</si>
  <si>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</si>
  <si>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</si>
  <si>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</si>
  <si>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</si>
  <si>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</si>
  <si>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</si>
  <si>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</si>
  <si>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</si>
  <si>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</si>
  <si>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</si>
  <si>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</si>
  <si>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</si>
  <si>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</si>
  <si>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</si>
  <si>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</si>
  <si>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</si>
  <si>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</si>
  <si>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</si>
  <si>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</si>
  <si>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</si>
  <si>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</si>
  <si>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</si>
  <si>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</si>
  <si>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</si>
  <si>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</si>
  <si>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</si>
  <si>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</si>
  <si>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</si>
  <si>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</si>
  <si>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</si>
  <si>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</si>
  <si>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</si>
  <si>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</si>
  <si>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</si>
  <si>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</si>
  <si>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</si>
  <si>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</si>
  <si>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</si>
  <si>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</si>
  <si>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</si>
  <si>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</si>
  <si>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</si>
  <si>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</si>
  <si>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</si>
  <si>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</si>
  <si>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</si>
  <si>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</si>
  <si>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</si>
  <si>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</si>
  <si>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</si>
  <si>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</si>
  <si>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</si>
  <si>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</si>
  <si>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</si>
  <si>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</si>
  <si>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</si>
  <si>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</si>
  <si>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</si>
  <si>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</si>
  <si>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</si>
  <si>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</si>
  <si>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</si>
  <si>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</si>
  <si>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</si>
  <si>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</si>
  <si>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</si>
  <si>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</si>
  <si>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</si>
  <si>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</si>
  <si>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</si>
  <si>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</si>
  <si>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</si>
  <si>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</si>
  <si>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</si>
  <si>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</si>
  <si>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</si>
  <si>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</si>
  <si>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</si>
  <si>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</si>
  <si>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</si>
  <si>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</si>
  <si>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</si>
  <si>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</si>
  <si>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</si>
  <si>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</si>
  <si>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</si>
  <si>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</si>
  <si>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</si>
  <si>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</si>
  <si>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</si>
  <si>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</si>
  <si>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</si>
  <si>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</si>
  <si>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</si>
  <si>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</si>
  <si>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</si>
  <si>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</si>
  <si>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</si>
  <si>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</si>
  <si>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</si>
  <si>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</si>
  <si>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</si>
  <si>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</si>
  <si>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</si>
  <si>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</si>
  <si>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</si>
  <si>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</si>
  <si>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</si>
  <si>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</si>
  <si>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</si>
  <si>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</si>
  <si>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</si>
  <si>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</si>
  <si>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</si>
  <si>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</si>
  <si>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</si>
  <si>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</si>
  <si>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</si>
  <si>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</si>
  <si>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</si>
  <si>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</si>
  <si>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</si>
  <si>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</si>
  <si>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</si>
  <si>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</si>
  <si>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</si>
  <si>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</si>
  <si>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</si>
  <si>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</si>
  <si>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</si>
  <si>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</si>
  <si>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</si>
  <si>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</si>
  <si>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</si>
  <si>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</si>
  <si>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</si>
  <si>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</si>
  <si>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</si>
  <si>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</si>
  <si>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</si>
  <si>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</si>
  <si>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</si>
  <si>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</si>
  <si>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</si>
  <si>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</si>
  <si>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</si>
  <si>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</si>
  <si>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</si>
  <si>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</si>
  <si>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</si>
  <si>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</si>
  <si>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</si>
  <si>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</si>
  <si>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</si>
  <si>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</si>
  <si>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</si>
  <si>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</si>
  <si>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</si>
  <si>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</si>
  <si>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</si>
  <si>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</si>
  <si>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</si>
  <si>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</si>
  <si>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</si>
  <si>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</si>
  <si>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</si>
  <si>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</si>
  <si>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</si>
  <si>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</si>
  <si>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</si>
  <si>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</si>
  <si>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</si>
  <si>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</si>
  <si>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</si>
  <si>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</si>
  <si>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</si>
  <si>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</si>
  <si>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</si>
  <si>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</si>
  <si>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</si>
  <si>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</si>
  <si>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</si>
  <si>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</si>
  <si>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</si>
  <si>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</si>
  <si>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</si>
  <si>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</si>
  <si>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</si>
  <si>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</si>
  <si>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</si>
  <si>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</si>
  <si>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</si>
  <si>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</si>
  <si>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</si>
  <si>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</si>
  <si>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</si>
  <si>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</si>
  <si>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</si>
  <si>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</si>
  <si>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</si>
  <si>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</si>
  <si>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</si>
  <si>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</si>
  <si>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</si>
  <si>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</si>
  <si>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</si>
  <si>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</si>
  <si>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</si>
  <si>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</si>
  <si>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</si>
  <si>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</si>
  <si>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</si>
  <si>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</si>
  <si>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</si>
  <si>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</si>
  <si>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</si>
  <si>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</si>
  <si>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</si>
  <si>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</si>
  <si>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</si>
  <si>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</si>
  <si>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</si>
  <si>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</si>
  <si>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</si>
  <si>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</si>
  <si>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</si>
  <si>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</si>
  <si>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</si>
  <si>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</si>
  <si>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</si>
  <si>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</si>
  <si>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</si>
  <si>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</si>
  <si>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</si>
  <si>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</si>
  <si>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</si>
  <si>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</si>
  <si>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</si>
  <si>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</si>
  <si>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</si>
  <si>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</si>
  <si>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</si>
  <si>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</si>
  <si>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</si>
  <si>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</si>
  <si>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</si>
  <si>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</si>
  <si>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</si>
  <si>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</si>
  <si>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</si>
  <si>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</si>
  <si>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</si>
  <si>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</si>
  <si>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</si>
  <si>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</si>
  <si>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</si>
  <si>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</si>
  <si>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</si>
  <si>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</si>
  <si>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</si>
  <si>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</si>
  <si>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</si>
  <si>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</si>
  <si>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</si>
  <si>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</si>
  <si>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</si>
  <si>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</si>
  <si>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</si>
  <si>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</si>
  <si>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</si>
  <si>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</si>
  <si>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</si>
  <si>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</si>
  <si>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</si>
  <si>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</si>
  <si>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</si>
  <si>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</si>
  <si>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</si>
  <si>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</si>
  <si>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</si>
  <si>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</si>
  <si>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</si>
  <si>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</si>
  <si>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</si>
  <si>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</si>
  <si>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</si>
  <si>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</si>
  <si>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</si>
  <si>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</si>
  <si>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</si>
  <si>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</si>
  <si>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</si>
  <si>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</si>
  <si>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</si>
  <si>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</si>
  <si>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</si>
  <si>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</si>
  <si>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</si>
  <si>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</si>
  <si>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</si>
  <si>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</si>
  <si>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</si>
  <si>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</si>
  <si>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</si>
  <si>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</si>
  <si>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</si>
  <si>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</si>
  <si>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</si>
  <si>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</si>
  <si>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</si>
  <si>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</si>
  <si>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</si>
  <si>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</si>
  <si>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</si>
  <si>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</si>
  <si>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</si>
  <si>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</si>
  <si>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</si>
  <si>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</si>
  <si>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</si>
  <si>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</si>
  <si>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</si>
  <si>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</si>
  <si>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</si>
  <si>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</si>
  <si>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</si>
  <si>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</si>
  <si>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</si>
  <si>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</si>
  <si>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</si>
  <si>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</si>
  <si>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</si>
  <si>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</si>
  <si>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</si>
  <si>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</si>
  <si>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</si>
  <si>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</si>
  <si>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</si>
  <si>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</si>
  <si>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</si>
  <si>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</si>
  <si>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</si>
  <si>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</si>
  <si>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</si>
  <si>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</si>
  <si>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</si>
  <si>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</si>
  <si>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</si>
  <si>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</si>
  <si>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</si>
  <si>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</si>
  <si>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</si>
  <si>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</si>
  <si>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</si>
  <si>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</si>
  <si>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</si>
  <si>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</si>
  <si>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</si>
  <si>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</si>
  <si>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</si>
  <si>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</si>
  <si>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</si>
  <si>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</si>
  <si>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</si>
  <si>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</si>
  <si>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</si>
  <si>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</si>
  <si>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</si>
  <si>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</si>
  <si>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</si>
  <si>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</si>
  <si>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</si>
  <si>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</si>
  <si>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</si>
  <si>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</si>
  <si>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</si>
  <si>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</si>
  <si>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</si>
  <si>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</si>
  <si>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</si>
  <si>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</si>
  <si>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</si>
  <si>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</si>
  <si>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</si>
  <si>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</si>
  <si>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</si>
  <si>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</si>
  <si>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</si>
  <si>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</si>
  <si>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</si>
  <si>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</si>
  <si>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</si>
  <si>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</si>
  <si>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</si>
  <si>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</si>
  <si>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</si>
  <si>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</si>
  <si>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</si>
  <si>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</si>
  <si>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</si>
  <si>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</si>
  <si>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</si>
  <si>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</si>
  <si>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</si>
  <si>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</si>
  <si>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</si>
  <si>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</si>
  <si>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</si>
  <si>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</si>
  <si>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</si>
  <si>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</si>
  <si>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</si>
  <si>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</si>
  <si>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</si>
  <si>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</si>
  <si>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</si>
  <si>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</si>
  <si>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</si>
  <si>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</si>
  <si>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</si>
  <si>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</si>
  <si>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</si>
  <si>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</si>
  <si>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</si>
  <si>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</si>
  <si>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</si>
  <si>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</si>
  <si>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</si>
  <si>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</si>
  <si>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</si>
  <si>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</si>
  <si>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</si>
  <si>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</si>
  <si>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</si>
  <si>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</si>
  <si>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</si>
  <si>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</si>
  <si>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</si>
  <si>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</si>
  <si>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</si>
  <si>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</si>
  <si>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</si>
  <si>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</si>
  <si>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</si>
  <si>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</si>
  <si>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</si>
  <si>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</si>
  <si>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</si>
  <si>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</si>
  <si>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</si>
  <si>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</si>
  <si>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</si>
  <si>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</si>
  <si>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</si>
  <si>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</si>
  <si>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</si>
  <si>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</si>
  <si>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</si>
  <si>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</si>
  <si>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</si>
  <si>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</si>
  <si>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</si>
  <si>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</si>
  <si>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</si>
  <si>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</si>
  <si>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</si>
  <si>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</si>
  <si>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</si>
  <si>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</si>
  <si>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</si>
  <si>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</si>
  <si>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</si>
  <si>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</si>
  <si>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</si>
  <si>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</si>
  <si>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</si>
  <si>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</si>
  <si>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</si>
  <si>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</si>
  <si>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</si>
  <si>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</si>
  <si>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</si>
  <si>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</si>
  <si>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</si>
  <si>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</si>
  <si>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</si>
  <si>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</si>
  <si>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</si>
  <si>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</si>
  <si>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</si>
  <si>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</si>
  <si>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</si>
  <si>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</si>
  <si>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</si>
  <si>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</si>
  <si>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</si>
  <si>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</si>
  <si>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</si>
  <si>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</si>
  <si>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</si>
  <si>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</si>
  <si>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</si>
  <si>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</si>
  <si>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</si>
  <si>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</si>
  <si>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</si>
  <si>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</si>
  <si>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</si>
  <si>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</si>
  <si>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</si>
  <si>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</si>
  <si>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</si>
  <si>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</si>
  <si>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</si>
  <si>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</si>
  <si>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</si>
  <si>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</si>
  <si>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</si>
  <si>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</si>
  <si>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</si>
  <si>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</si>
  <si>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</si>
  <si>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</si>
  <si>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</si>
  <si>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</si>
  <si>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</si>
  <si>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</si>
  <si>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</si>
  <si>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</si>
  <si>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</si>
  <si>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</si>
  <si>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</si>
  <si>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</si>
  <si>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</si>
  <si>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</si>
  <si>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</si>
  <si>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</si>
  <si>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</si>
  <si>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</si>
  <si>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</si>
  <si>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</si>
  <si>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</si>
  <si>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</si>
  <si>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</si>
  <si>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</si>
  <si>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</si>
  <si>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</si>
  <si>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</si>
  <si>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</si>
  <si>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</si>
  <si>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</si>
  <si>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</si>
  <si>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</si>
  <si>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</si>
  <si>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</si>
  <si>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</si>
  <si>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</si>
  <si>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</si>
  <si>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</si>
  <si>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</si>
  <si>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</si>
  <si>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</si>
  <si>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</si>
  <si>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</si>
  <si>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</si>
  <si>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</si>
  <si>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</si>
  <si>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</si>
  <si>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</si>
  <si>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</si>
  <si>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</si>
  <si>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</si>
  <si>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</si>
  <si>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</si>
  <si>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</si>
  <si>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</si>
  <si>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</si>
  <si>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</si>
  <si>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</si>
  <si>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</si>
  <si>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</si>
  <si>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</si>
  <si>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</si>
  <si>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</si>
  <si>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</si>
  <si>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</si>
  <si>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</si>
  <si>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</si>
  <si>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</si>
  <si>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</si>
  <si>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</si>
  <si>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</si>
  <si>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</si>
  <si>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</si>
  <si>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</si>
  <si>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</si>
  <si>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</si>
  <si>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</si>
  <si>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</si>
  <si>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</si>
  <si>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</si>
  <si>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</si>
  <si>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</si>
  <si>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</si>
  <si>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</si>
  <si>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</si>
  <si>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</si>
  <si>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</si>
  <si>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</si>
  <si>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</si>
  <si>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</si>
  <si>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</si>
  <si>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</si>
  <si>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</si>
  <si>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</si>
  <si>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</si>
  <si>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</si>
  <si>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</si>
  <si>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</si>
  <si>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</si>
  <si>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</si>
  <si>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</si>
  <si>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</si>
  <si>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</si>
  <si>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</si>
  <si>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</si>
  <si>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</si>
  <si>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</si>
  <si>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</si>
  <si>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</si>
  <si>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</si>
  <si>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</si>
  <si>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</si>
  <si>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</si>
  <si>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</si>
  <si>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</si>
  <si>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</si>
  <si>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</si>
  <si>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</si>
  <si>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</si>
  <si>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</si>
  <si>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</si>
  <si>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</si>
  <si>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</si>
  <si>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</si>
  <si>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</si>
  <si>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</si>
  <si>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</si>
  <si>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</si>
  <si>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</si>
  <si>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</si>
  <si>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</si>
  <si>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</si>
  <si>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</si>
  <si>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</si>
  <si>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</si>
  <si>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</si>
  <si>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</si>
  <si>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</si>
  <si>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</si>
  <si>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</si>
  <si>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</si>
  <si>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</si>
  <si>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</si>
  <si>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</si>
  <si>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</si>
  <si>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</si>
  <si>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</si>
  <si>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</si>
  <si>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</si>
  <si>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</si>
  <si>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</si>
  <si>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</si>
  <si>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</si>
  <si>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</si>
  <si>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</si>
  <si>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</si>
  <si>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</si>
  <si>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</si>
  <si>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</si>
  <si>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</si>
  <si>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</si>
  <si>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</si>
  <si>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</si>
  <si>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</si>
  <si>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</si>
  <si>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</si>
  <si>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</si>
  <si>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</si>
  <si>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</si>
  <si>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</si>
  <si>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</si>
  <si>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</si>
  <si>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</si>
  <si>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</si>
  <si>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</si>
  <si>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</si>
  <si>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</si>
  <si>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</si>
  <si>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</si>
  <si>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</si>
  <si>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</si>
  <si>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</si>
  <si>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</si>
  <si>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</si>
  <si>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</si>
  <si>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</si>
  <si>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</si>
  <si>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</si>
  <si>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</si>
  <si>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</si>
  <si>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</si>
  <si>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</si>
  <si>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</si>
  <si>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</si>
  <si>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</si>
  <si>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</si>
  <si>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</si>
  <si>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</si>
  <si>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</si>
  <si>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</si>
  <si>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</si>
  <si>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</si>
  <si>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</si>
  <si>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</si>
  <si>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</si>
  <si>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</si>
  <si>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</si>
  <si>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</si>
  <si>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</si>
  <si>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</si>
  <si>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</si>
  <si>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</si>
  <si>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</si>
  <si>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</si>
  <si>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</si>
  <si>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</si>
  <si>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</si>
  <si>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</si>
  <si>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</si>
  <si>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</si>
  <si>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</si>
  <si>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</si>
  <si>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</si>
  <si>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</si>
  <si>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</si>
  <si>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</si>
  <si>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</si>
  <si>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</si>
  <si>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</si>
  <si>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</si>
  <si>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</si>
  <si>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</si>
  <si>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</si>
  <si>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</si>
  <si>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</si>
  <si>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</si>
  <si>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</si>
  <si>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</si>
  <si>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</si>
  <si>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</si>
  <si>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</si>
  <si>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</si>
  <si>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</si>
  <si>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</si>
  <si>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</si>
  <si>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</si>
  <si>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</si>
  <si>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</si>
  <si>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</si>
  <si>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</si>
  <si>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</si>
  <si>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</si>
  <si>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</si>
  <si>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</si>
  <si>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</si>
  <si>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</si>
  <si>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</si>
  <si>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</si>
  <si>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</si>
  <si>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</si>
  <si>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</si>
  <si>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</si>
  <si>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</si>
  <si>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</si>
  <si>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</si>
  <si>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</si>
  <si>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</si>
  <si>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</si>
  <si>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</si>
  <si>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</si>
  <si>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</si>
  <si>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</si>
  <si>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</si>
  <si>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</si>
  <si>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</si>
  <si>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</si>
  <si>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</si>
  <si>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</si>
  <si>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</si>
  <si>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</si>
  <si>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</si>
  <si>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</si>
  <si>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</si>
  <si>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</si>
  <si>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</si>
  <si>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</si>
  <si>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</si>
  <si>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</si>
  <si>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</si>
  <si>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</si>
  <si>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</si>
  <si>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</si>
  <si>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</si>
  <si>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</si>
  <si>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</si>
  <si>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</si>
  <si>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</si>
  <si>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</si>
  <si>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</si>
  <si>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</si>
  <si>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</si>
  <si>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</si>
  <si>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</si>
  <si>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</si>
  <si>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</si>
  <si>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</si>
  <si>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</si>
  <si>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</si>
  <si>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</si>
  <si>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</si>
  <si>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</si>
  <si>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</si>
  <si>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</si>
  <si>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</si>
  <si>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</si>
  <si>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</si>
  <si>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</si>
  <si>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</si>
  <si>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</si>
  <si>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</si>
  <si>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</si>
  <si>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</si>
  <si>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</si>
  <si>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</si>
  <si>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</si>
  <si>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</si>
  <si>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</si>
  <si>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</si>
  <si>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</si>
  <si>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</si>
  <si>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</si>
  <si>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</si>
  <si>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</si>
  <si>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</si>
  <si>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</si>
  <si>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</si>
  <si>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</si>
  <si>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</si>
  <si>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</si>
  <si>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</si>
  <si>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</si>
  <si>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</si>
  <si>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</si>
  <si>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</si>
  <si>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</si>
  <si>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</si>
  <si>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</si>
  <si>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</si>
  <si>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</si>
  <si>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</si>
  <si>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</si>
  <si>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</si>
  <si>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</si>
  <si>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</si>
  <si>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</si>
  <si>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</si>
  <si>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</si>
  <si>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</si>
  <si>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</si>
  <si>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</si>
  <si>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</si>
  <si>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</si>
  <si>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</si>
  <si>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</si>
  <si>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</si>
  <si>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</si>
  <si>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</si>
  <si>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</si>
  <si>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</si>
  <si>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</si>
  <si>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</si>
  <si>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</si>
  <si>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</si>
  <si>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</si>
  <si>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</si>
  <si>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</si>
  <si>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</si>
  <si>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</si>
  <si>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</si>
  <si>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</si>
  <si>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</si>
  <si>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</si>
  <si>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</si>
  <si>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</si>
  <si>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</si>
  <si>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</si>
  <si>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</si>
  <si>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</si>
  <si>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</si>
  <si>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</si>
  <si>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</si>
  <si>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</si>
  <si>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</si>
  <si>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</si>
  <si>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</si>
  <si>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</si>
  <si>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</si>
  <si>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</si>
  <si>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</si>
  <si>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</si>
  <si>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</si>
  <si>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</si>
  <si>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</si>
  <si>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</si>
  <si>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</si>
  <si>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</si>
  <si>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</si>
  <si>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</si>
  <si>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</si>
  <si>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</si>
  <si>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</si>
  <si>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</si>
  <si>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</si>
  <si>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</si>
  <si>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</si>
  <si>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</si>
  <si>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</si>
  <si>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</si>
  <si>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</si>
  <si>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</si>
  <si>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</si>
  <si>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</si>
  <si>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</si>
  <si>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</si>
  <si>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</si>
  <si>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</si>
  <si>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</si>
  <si>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</si>
  <si>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</si>
  <si>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</si>
  <si>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</si>
  <si>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</si>
  <si>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</si>
  <si>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</si>
  <si>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</si>
  <si>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</si>
  <si>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</si>
  <si>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</si>
  <si>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</si>
  <si>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</si>
  <si>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</si>
  <si>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</si>
  <si>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</si>
  <si>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</si>
  <si>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</si>
  <si>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</si>
  <si>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</si>
  <si>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</si>
  <si>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</si>
  <si>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</si>
  <si>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</si>
  <si>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</si>
  <si>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</si>
  <si>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</si>
  <si>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</si>
  <si>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</si>
  <si>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</si>
  <si>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</si>
  <si>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</si>
  <si>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</si>
  <si>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</si>
  <si>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</si>
  <si>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</si>
  <si>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</si>
  <si>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</si>
  <si>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</si>
  <si>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</si>
  <si>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</si>
  <si>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</si>
  <si>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</si>
  <si>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</si>
  <si>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</si>
  <si>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</si>
  <si>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</si>
  <si>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</si>
  <si>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</si>
  <si>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</si>
  <si>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</si>
  <si>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</si>
  <si>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</si>
  <si>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</si>
  <si>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</si>
  <si>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</si>
  <si>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</si>
  <si>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</si>
  <si>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</si>
  <si>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</si>
  <si>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</si>
  <si>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</si>
  <si>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</si>
  <si>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</si>
  <si>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</si>
  <si>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</si>
  <si>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</si>
  <si>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</si>
  <si>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</si>
  <si>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</si>
  <si>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</si>
  <si>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</si>
  <si>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</si>
  <si>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</si>
  <si>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</si>
  <si>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</si>
  <si>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</si>
  <si>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</si>
  <si>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</si>
  <si>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</si>
  <si>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</si>
  <si>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</si>
  <si>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</si>
  <si>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</si>
  <si>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</si>
  <si>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</si>
  <si>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</si>
  <si>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</si>
  <si>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</si>
  <si>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</si>
  <si>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</si>
  <si>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</si>
  <si>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</si>
  <si>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</si>
  <si>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</si>
  <si>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</si>
  <si>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</si>
  <si>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</si>
  <si>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</si>
  <si>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</si>
  <si>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</si>
  <si>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</si>
  <si>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</si>
  <si>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</si>
  <si>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</si>
  <si>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</si>
  <si>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</si>
  <si>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</si>
  <si>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</si>
  <si>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</si>
  <si>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</si>
  <si>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</si>
  <si>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</si>
  <si>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</si>
  <si>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</si>
  <si>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</si>
  <si>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</si>
  <si>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</si>
  <si>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</si>
  <si>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</si>
  <si>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</si>
  <si>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</si>
  <si>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</si>
  <si>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</si>
  <si>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</si>
  <si>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</si>
  <si>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</si>
  <si>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</si>
  <si>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</si>
  <si>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</si>
  <si>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</si>
  <si>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</si>
  <si>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</si>
  <si>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</si>
  <si>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</si>
  <si>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</si>
  <si>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</si>
  <si>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</si>
  <si>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</si>
  <si>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</si>
  <si>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</si>
  <si>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</si>
  <si>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</si>
  <si>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</si>
  <si>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</si>
  <si>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</si>
  <si>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</si>
  <si>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</si>
  <si>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</si>
  <si>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</si>
  <si>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</si>
  <si>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</si>
  <si>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</si>
  <si>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</si>
  <si>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</si>
  <si>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</si>
  <si>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</si>
  <si>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</si>
  <si>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</si>
  <si>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</si>
  <si>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</si>
  <si>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</si>
  <si>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</si>
  <si>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</si>
  <si>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</si>
  <si>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</si>
  <si>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</si>
  <si>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</si>
  <si>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</si>
  <si>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</si>
  <si>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</si>
  <si>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</si>
  <si>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</si>
  <si>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</si>
  <si>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</si>
  <si>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</si>
  <si>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</si>
  <si>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</si>
  <si>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</si>
  <si>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</si>
  <si>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</si>
  <si>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</si>
  <si>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</si>
  <si>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</si>
  <si>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</si>
  <si>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</si>
  <si>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</si>
  <si>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</si>
  <si>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</si>
  <si>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</si>
  <si>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</si>
  <si>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</si>
  <si>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</si>
  <si>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</si>
  <si>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</si>
  <si>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</si>
  <si>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</si>
  <si>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</si>
  <si>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</si>
  <si>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</si>
  <si>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</si>
  <si>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</si>
  <si>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</si>
  <si>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</si>
  <si>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</si>
  <si>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</si>
  <si>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</si>
  <si>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</si>
  <si>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</si>
  <si>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</si>
  <si>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</si>
  <si>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</si>
  <si>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</si>
  <si>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</si>
  <si>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</si>
  <si>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</si>
  <si>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</si>
  <si>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</si>
  <si>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</si>
  <si>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</si>
  <si>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</si>
  <si>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</si>
  <si>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</si>
  <si>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</si>
  <si>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</si>
  <si>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</si>
  <si>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</si>
  <si>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</si>
  <si>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</si>
  <si>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</si>
  <si>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</si>
  <si>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</si>
  <si>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</si>
  <si>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</si>
  <si>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</si>
  <si>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</si>
  <si>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</si>
  <si>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</si>
  <si>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</si>
  <si>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</si>
  <si>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</si>
  <si>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</si>
  <si>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</si>
  <si>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</si>
  <si>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</si>
  <si>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</si>
  <si>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</si>
  <si>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</si>
  <si>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</si>
  <si>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</si>
  <si>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</si>
  <si>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</si>
  <si>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</si>
  <si>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</si>
  <si>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</si>
  <si>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</si>
  <si>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</si>
  <si>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</si>
  <si>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</si>
  <si>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</si>
  <si>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</si>
  <si>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</si>
  <si>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</si>
  <si>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</si>
  <si>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</si>
  <si>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</si>
  <si>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</si>
  <si>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</si>
  <si>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</si>
  <si>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</si>
  <si>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</si>
  <si>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</si>
  <si>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</si>
  <si>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</si>
  <si>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</si>
  <si>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</si>
  <si>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</si>
  <si>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</si>
  <si>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</si>
  <si>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</si>
  <si>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</si>
  <si>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</si>
  <si>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</si>
  <si>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</si>
  <si>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</si>
  <si>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</si>
  <si>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</si>
  <si>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</si>
  <si>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</si>
  <si>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</si>
  <si>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</si>
  <si>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</si>
  <si>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</si>
  <si>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</si>
  <si>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</si>
  <si>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</si>
  <si>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</si>
  <si>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</si>
  <si>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</si>
  <si>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</si>
  <si>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</si>
  <si>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</si>
  <si>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</si>
  <si>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</si>
  <si>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</si>
  <si>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</si>
  <si>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</si>
  <si>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</si>
  <si>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</si>
  <si>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</si>
  <si>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</si>
  <si>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</si>
  <si>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</si>
  <si>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</si>
  <si>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</si>
  <si>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</si>
  <si>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</si>
  <si>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</si>
  <si>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</si>
  <si>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</si>
  <si>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</si>
  <si>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</si>
  <si>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</si>
  <si>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</si>
  <si>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</si>
  <si>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</si>
  <si>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</si>
  <si>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</si>
  <si>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</si>
  <si>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</si>
  <si>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</si>
  <si>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</si>
  <si>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</si>
  <si>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</si>
  <si>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</si>
  <si>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</si>
  <si>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</si>
  <si>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</si>
  <si>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</si>
  <si>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</si>
  <si>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</si>
  <si>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</si>
  <si>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</si>
  <si>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</si>
  <si>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</si>
  <si>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</si>
  <si>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</si>
  <si>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</si>
  <si>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</si>
  <si>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</si>
  <si>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</si>
  <si>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</si>
  <si>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</si>
  <si>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</si>
  <si>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</si>
  <si>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</si>
  <si>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</si>
  <si>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</si>
  <si>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</si>
  <si>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</si>
  <si>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</si>
  <si>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</si>
  <si>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</si>
  <si>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</si>
  <si>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</si>
  <si>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</si>
  <si>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</si>
  <si>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</si>
  <si>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</si>
  <si>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</si>
  <si>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</si>
  <si>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</si>
  <si>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</si>
  <si>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</si>
  <si>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</si>
  <si>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</si>
  <si>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</si>
  <si>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</si>
  <si>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</si>
  <si>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</si>
  <si>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</si>
  <si>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</si>
  <si>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</si>
  <si>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</si>
  <si>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</si>
  <si>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</si>
  <si>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</si>
  <si>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</si>
  <si>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</si>
  <si>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</si>
  <si>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</si>
  <si>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</si>
  <si>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</si>
  <si>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</si>
  <si>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</si>
  <si>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</si>
  <si>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</si>
  <si>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</si>
  <si>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</si>
  <si>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</si>
  <si>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</si>
  <si>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</si>
  <si>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</si>
  <si>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</si>
  <si>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</si>
  <si>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</si>
  <si>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</si>
  <si>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</si>
  <si>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</si>
  <si>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</si>
  <si>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</si>
  <si>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</si>
  <si>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</si>
  <si>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</si>
  <si>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</si>
  <si>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</si>
  <si>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</si>
  <si>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</si>
  <si>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</si>
  <si>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</si>
  <si>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</si>
  <si>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</si>
  <si>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</si>
  <si>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</si>
  <si>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</si>
  <si>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</si>
  <si>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</si>
  <si>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</si>
  <si>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</si>
  <si>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</si>
  <si>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</si>
  <si>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</si>
  <si>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</si>
  <si>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</si>
  <si>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</si>
  <si>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</si>
  <si>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</si>
  <si>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</si>
  <si>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</si>
  <si>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</si>
  <si>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</si>
  <si>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</si>
  <si>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</si>
  <si>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</si>
  <si>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</si>
  <si>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</si>
  <si>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</si>
  <si>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</si>
  <si>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</si>
  <si>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</si>
  <si>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</si>
  <si>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</si>
  <si>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</si>
  <si>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</si>
  <si>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</si>
  <si>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</si>
  <si>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</si>
  <si>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</si>
  <si>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</si>
  <si>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</si>
  <si>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</si>
  <si>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</si>
  <si>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</si>
  <si>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</si>
  <si>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</si>
  <si>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</si>
  <si>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</si>
  <si>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</si>
  <si>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</si>
  <si>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</si>
  <si>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</si>
  <si>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</si>
  <si>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</si>
  <si>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</si>
  <si>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</si>
  <si>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</si>
  <si>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</si>
  <si>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</si>
  <si>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</si>
  <si>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</si>
  <si>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</si>
  <si>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</si>
  <si>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</si>
  <si>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</si>
  <si>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</si>
  <si>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</si>
  <si>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</si>
  <si>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</si>
  <si>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</si>
  <si>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</si>
  <si>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</si>
  <si>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</si>
  <si>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</si>
  <si>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</si>
  <si>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</si>
  <si>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</si>
  <si>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</si>
  <si>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</si>
  <si>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</si>
  <si>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</si>
  <si>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</si>
  <si>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</si>
  <si>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</si>
  <si>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</si>
  <si>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</si>
  <si>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</si>
  <si>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</si>
  <si>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</si>
  <si>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</si>
  <si>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</si>
  <si>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</si>
  <si>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</si>
  <si>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</si>
  <si>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</si>
  <si>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</si>
  <si>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</si>
  <si>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</si>
  <si>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</si>
  <si>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</si>
  <si>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</si>
  <si>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</si>
  <si>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</si>
  <si>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</si>
  <si>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</si>
  <si>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</si>
  <si>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</si>
  <si>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</si>
  <si>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</si>
  <si>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</si>
  <si>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</si>
  <si>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</si>
  <si>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</si>
  <si>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</si>
  <si>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</si>
  <si>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</si>
  <si>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</si>
  <si>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</si>
  <si>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</si>
  <si>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</si>
  <si>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</si>
  <si>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</si>
  <si>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</si>
  <si>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</si>
  <si>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</si>
  <si>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</si>
  <si>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</si>
  <si>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</si>
  <si>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</si>
  <si>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</si>
  <si>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</si>
  <si>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</si>
  <si>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</si>
  <si>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</si>
  <si>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</si>
  <si>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</si>
  <si>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</si>
  <si>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</si>
  <si>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</si>
  <si>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</si>
  <si>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</si>
  <si>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</si>
  <si>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</si>
  <si>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</si>
  <si>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</si>
  <si>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</si>
  <si>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</si>
  <si>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</si>
  <si>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</si>
  <si>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</si>
  <si>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</si>
  <si>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</si>
  <si>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</si>
  <si>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</si>
  <si>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</si>
  <si>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</si>
  <si>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</si>
  <si>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</si>
  <si>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</si>
  <si>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</si>
  <si>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</si>
  <si>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</si>
  <si>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</si>
  <si>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</si>
  <si>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</si>
  <si>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</si>
  <si>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</si>
  <si>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</si>
  <si>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</si>
  <si>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</si>
  <si>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</si>
  <si>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</si>
  <si>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</si>
  <si>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</si>
  <si>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</si>
  <si>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</si>
  <si>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</si>
  <si>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</si>
  <si>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</si>
  <si>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</si>
  <si>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</si>
  <si>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</si>
  <si>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</si>
  <si>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</si>
  <si>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</si>
  <si>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</si>
  <si>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</si>
  <si>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</si>
  <si>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</si>
  <si>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</si>
  <si>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</si>
  <si>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</si>
  <si>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</si>
  <si>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</si>
  <si>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</si>
  <si>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</si>
  <si>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</si>
  <si>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</si>
  <si>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</si>
  <si>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</si>
  <si>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</si>
  <si>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</si>
  <si>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</si>
  <si>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</si>
  <si>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</si>
  <si>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</si>
  <si>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</si>
  <si>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</si>
  <si>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</si>
  <si>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</si>
  <si>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</si>
  <si>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</si>
  <si>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</si>
  <si>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</si>
  <si>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</si>
  <si>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</si>
  <si>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</si>
  <si>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</si>
  <si>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</si>
  <si>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</si>
  <si>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</si>
  <si>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</si>
  <si>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</si>
  <si>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</si>
  <si>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</si>
  <si>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</si>
  <si>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</si>
  <si>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</si>
  <si>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</si>
  <si>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</si>
  <si>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</si>
  <si>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</si>
  <si>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</si>
  <si>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</si>
  <si>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</si>
  <si>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</si>
  <si>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</si>
  <si>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</si>
  <si>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</si>
  <si>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</si>
  <si>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</si>
  <si>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</si>
  <si>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</si>
  <si>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</si>
  <si>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</si>
  <si>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</si>
  <si>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</si>
  <si>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</si>
  <si>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</si>
  <si>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</si>
  <si>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</si>
  <si>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</si>
  <si>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</si>
  <si>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</si>
  <si>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</si>
  <si>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</si>
  <si>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</si>
  <si>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</si>
  <si>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</si>
  <si>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</si>
  <si>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</si>
  <si>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</si>
  <si>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</si>
  <si>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</si>
  <si>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</si>
  <si>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</si>
  <si>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</si>
  <si>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</si>
  <si>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</si>
  <si>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</si>
  <si>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</si>
  <si>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</si>
  <si>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</si>
  <si>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</si>
  <si>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</si>
  <si>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</si>
  <si>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</si>
  <si>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</si>
  <si>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</si>
  <si>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</si>
  <si>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</si>
  <si>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</si>
  <si>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</si>
  <si>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</si>
  <si>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</si>
  <si>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</si>
  <si>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</si>
  <si>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</si>
  <si>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</si>
  <si>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</si>
  <si>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</si>
  <si>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</si>
  <si>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</si>
  <si>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</si>
  <si>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</si>
  <si>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</si>
  <si>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</si>
  <si>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</si>
  <si>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</si>
  <si>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</si>
  <si>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</si>
  <si>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</si>
  <si>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</si>
  <si>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</si>
  <si>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</si>
  <si>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</si>
  <si>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</si>
  <si>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</si>
  <si>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</si>
  <si>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</si>
  <si>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</si>
  <si>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</si>
  <si>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</si>
  <si>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</si>
  <si>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</si>
  <si>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</si>
  <si>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</si>
  <si>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</si>
  <si>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</si>
  <si>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</si>
  <si>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</si>
  <si>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</si>
  <si>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</si>
  <si>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</si>
  <si>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</si>
  <si>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</si>
  <si>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</si>
  <si>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</si>
  <si>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</si>
  <si>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</si>
  <si>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</si>
  <si>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</si>
  <si>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</si>
  <si>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</si>
  <si>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</si>
  <si>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</si>
  <si>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</si>
  <si>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</si>
  <si>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</si>
  <si>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</si>
  <si>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</si>
  <si>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</si>
  <si>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</si>
  <si>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</si>
  <si>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</si>
  <si>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</si>
  <si>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</si>
  <si>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</si>
  <si>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</si>
  <si>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</si>
  <si>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</si>
  <si>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</si>
  <si>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</si>
  <si>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</si>
  <si>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</si>
  <si>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</si>
  <si>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</si>
  <si>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</si>
  <si>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</si>
  <si>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</si>
  <si>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</si>
  <si>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</si>
  <si>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</si>
  <si>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</si>
  <si>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</si>
  <si>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</si>
  <si>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</si>
  <si>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</si>
  <si>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</si>
  <si>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</si>
  <si>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</si>
  <si>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</si>
  <si>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</si>
  <si>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</si>
  <si>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</si>
  <si>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</si>
  <si>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</si>
  <si>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</si>
  <si>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</si>
  <si>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</si>
  <si>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</si>
  <si>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</si>
  <si>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</si>
  <si>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</si>
  <si>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</si>
  <si>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</si>
  <si>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</si>
  <si>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</si>
  <si>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</si>
  <si>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</si>
  <si>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</si>
  <si>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</si>
  <si>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</si>
  <si>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</si>
  <si>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</si>
  <si>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</si>
  <si>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</si>
  <si>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</si>
  <si>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</si>
  <si>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</si>
  <si>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</si>
  <si>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</si>
  <si>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</si>
  <si>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</si>
  <si>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</si>
  <si>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</si>
  <si>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</si>
  <si>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</si>
  <si>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</si>
  <si>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</si>
  <si>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</si>
  <si>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</si>
  <si>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</si>
  <si>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</si>
  <si>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</si>
  <si>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</si>
  <si>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</si>
  <si>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</si>
  <si>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</si>
  <si>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</si>
  <si>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</si>
  <si>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</si>
  <si>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</si>
  <si>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name_raw</t>
  </si>
  <si>
    <t>full_name</t>
  </si>
  <si>
    <t>Freelancer_ID</t>
  </si>
  <si>
    <t>Full Name</t>
  </si>
  <si>
    <t>Gender</t>
  </si>
  <si>
    <t>Age</t>
  </si>
  <si>
    <t>Country</t>
  </si>
  <si>
    <t>Language</t>
  </si>
  <si>
    <t>Primary Skill</t>
  </si>
  <si>
    <t>Years of experience</t>
  </si>
  <si>
    <t>Hourly Rate</t>
  </si>
  <si>
    <t>Rating</t>
  </si>
  <si>
    <t>Status</t>
  </si>
  <si>
    <t>Client Satisfaction</t>
  </si>
  <si>
    <t>Nicole Kidd</t>
  </si>
  <si>
    <t>Not Active</t>
  </si>
  <si>
    <t>Active</t>
  </si>
  <si>
    <t>Lynn Curtis</t>
  </si>
  <si>
    <t>Samantha Simmons</t>
  </si>
  <si>
    <t>Allison Tucker</t>
  </si>
  <si>
    <t>Juan Mitchell</t>
  </si>
  <si>
    <t>Anthony Goodwin</t>
  </si>
  <si>
    <t>Michael Aguilar</t>
  </si>
  <si>
    <t>Angela Ward</t>
  </si>
  <si>
    <t>Anthony Huynh</t>
  </si>
  <si>
    <t>Christine Cherry</t>
  </si>
  <si>
    <t>David Valencia</t>
  </si>
  <si>
    <t>Natalie Frank</t>
  </si>
  <si>
    <t>Paul Williamson</t>
  </si>
  <si>
    <t>Jessica Campbell</t>
  </si>
  <si>
    <t>Adam Kelly</t>
  </si>
  <si>
    <t>Danny Morris</t>
  </si>
  <si>
    <t>Aaron Stewart</t>
  </si>
  <si>
    <t>Clifford Moore</t>
  </si>
  <si>
    <t>Kristi Brown</t>
  </si>
  <si>
    <t>Catherine Mccoy</t>
  </si>
  <si>
    <t>Janet Donovan</t>
  </si>
  <si>
    <t>Pamela Larson</t>
  </si>
  <si>
    <t>Scott Alexander</t>
  </si>
  <si>
    <t>Rhonda Hernandez</t>
  </si>
  <si>
    <t>Lisa Beard</t>
  </si>
  <si>
    <t>Jessica Williams</t>
  </si>
  <si>
    <t>Amy Brooks</t>
  </si>
  <si>
    <t>Kimberly Marshall</t>
  </si>
  <si>
    <t>Robert Meza</t>
  </si>
  <si>
    <t>Lisa Werner</t>
  </si>
  <si>
    <t>Laura Wong</t>
  </si>
  <si>
    <t>Row Labels</t>
  </si>
  <si>
    <t>Grand Total</t>
  </si>
  <si>
    <t>Average of Rating</t>
  </si>
  <si>
    <t>0-5</t>
  </si>
  <si>
    <t>6-10</t>
  </si>
  <si>
    <t>16-20</t>
  </si>
  <si>
    <t>21+</t>
  </si>
  <si>
    <t>11-15</t>
  </si>
  <si>
    <t>Count of Freelancer_ID</t>
  </si>
  <si>
    <t>Years of exp</t>
  </si>
  <si>
    <t>Primary skill</t>
  </si>
  <si>
    <t>Average of Hourly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</si>
</sst>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9" fontId="0" fillId="0" borderId="0" xfId="0" applyNumberFormat="1"/>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0" fontId="0" fillId="2" borderId="0" xfId="0" applyFill="1"/>
    <xf numFmtId="2" fontId="0" fillId="0" borderId="0" xfId="0" applyNumberFormat="1"/>
  </cellXfs>
  <cellStyles count="1">
    <cellStyle name="Normal" xfId="0" builtinId="0"/>
  </cellStyles>
  <dxfs count="354">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4" formatCode="0.00%"/>
    </dxf>
    <dxf>
      <numFmt numFmtId="13" formatCode="0%"/>
    </dxf>
    <dxf>
      <numFmt numFmtId="165" formatCode="0.0%"/>
    </dxf>
    <dxf>
      <numFmt numFmtId="2" formatCode="0.00"/>
    </dxf>
    <dxf>
      <numFmt numFmtId="13" formatCode="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3" formatCode="0%"/>
    </dxf>
    <dxf>
      <numFmt numFmtId="2" formatCode="0.00"/>
    </dxf>
    <dxf>
      <numFmt numFmtId="13" formatCode="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4" formatCode="0.00%"/>
    </dxf>
    <dxf>
      <numFmt numFmtId="13" formatCode="0%"/>
    </dxf>
    <dxf>
      <numFmt numFmtId="165"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2" formatCode="0.00"/>
    </dxf>
    <dxf>
      <numFmt numFmtId="14" formatCode="0.00%"/>
    </dxf>
    <dxf>
      <numFmt numFmtId="13" formatCode="0%"/>
    </dxf>
    <dxf>
      <numFmt numFmtId="13" formatCode="0%"/>
    </dxf>
    <dxf>
      <numFmt numFmtId="164" formatCode="0.0"/>
    </dxf>
    <dxf>
      <numFmt numFmtId="2" formatCode="0.00"/>
    </dxf>
    <dxf>
      <numFmt numFmtId="13" formatCode="0%"/>
    </dxf>
    <dxf>
      <numFmt numFmtId="2" formatCode="0.00"/>
    </dxf>
    <dxf>
      <numFmt numFmtId="13" formatCode="0%"/>
    </dxf>
    <dxf>
      <numFmt numFmtId="2" formatCode="0.00"/>
    </dxf>
    <dxf>
      <numFmt numFmtId="13" formatCode="0%"/>
    </dxf>
    <dxf>
      <numFmt numFmtId="1" formatCode="0"/>
    </dxf>
    <dxf>
      <numFmt numFmtId="1" formatCode="0"/>
    </dxf>
    <dxf>
      <numFmt numFmtId="2" formatCode="0.00"/>
    </dxf>
    <dxf>
      <numFmt numFmtId="13" formatCode="0%"/>
    </dxf>
    <dxf>
      <numFmt numFmtId="2" formatCode="0.00"/>
    </dxf>
    <dxf>
      <numFmt numFmtId="13" formatCode="0%"/>
    </dxf>
    <dxf>
      <numFmt numFmtId="13" formatCode="0%"/>
    </dxf>
    <dxf>
      <numFmt numFmtId="14" formatCode="0.00%"/>
    </dxf>
    <dxf>
      <numFmt numFmtId="2" formatCode="0.00"/>
    </dxf>
    <dxf>
      <numFmt numFmtId="164" formatCode="0.0"/>
    </dxf>
    <dxf>
      <numFmt numFmtId="165" formatCode="0.0%"/>
    </dxf>
    <dxf>
      <numFmt numFmtId="13" formatCode="0%"/>
    </dxf>
    <dxf>
      <numFmt numFmtId="14" formatCode="0.00%"/>
    </dxf>
    <dxf>
      <numFmt numFmtId="2" formatCode="0.00"/>
    </dxf>
    <dxf>
      <numFmt numFmtId="1" formatCode="0"/>
    </dxf>
    <dxf>
      <numFmt numFmtId="1" formatCode="0"/>
    </dxf>
  </dxfs>
  <tableStyles count="0" defaultTableStyle="TableStyleMedium2" defaultPivotStyle="PivotStyleLight16"/>
  <colors>
    <mruColors>
      <color rgb="FF934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Rating</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 tables'!$C$4:$C$14</c:f>
              <c:numCache>
                <c:formatCode>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05A1-407D-81C4-DBF8C9F54D0F}"/>
            </c:ext>
          </c:extLst>
        </c:ser>
        <c:dLbls>
          <c:dLblPos val="outEnd"/>
          <c:showLegendKey val="0"/>
          <c:showVal val="1"/>
          <c:showCatName val="0"/>
          <c:showSerName val="0"/>
          <c:showPercent val="0"/>
          <c:showBubbleSize val="0"/>
        </c:dLbls>
        <c:gapWidth val="150"/>
        <c:axId val="741050768"/>
        <c:axId val="741051184"/>
      </c:barChart>
      <c:catAx>
        <c:axId val="74105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51184"/>
        <c:crosses val="autoZero"/>
        <c:auto val="1"/>
        <c:lblAlgn val="ctr"/>
        <c:lblOffset val="100"/>
        <c:noMultiLvlLbl val="0"/>
      </c:catAx>
      <c:valAx>
        <c:axId val="7410511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5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Years</a:t>
            </a:r>
            <a:r>
              <a:rPr lang="en-US" b="1" baseline="0"/>
              <a:t> of Experience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tables'!$E$4:$E$9</c:f>
              <c:strCache>
                <c:ptCount val="5"/>
                <c:pt idx="0">
                  <c:v>0-5</c:v>
                </c:pt>
                <c:pt idx="1">
                  <c:v>6-10</c:v>
                </c:pt>
                <c:pt idx="2">
                  <c:v>11-15</c:v>
                </c:pt>
                <c:pt idx="3">
                  <c:v>16-20</c:v>
                </c:pt>
                <c:pt idx="4">
                  <c:v>21+</c:v>
                </c:pt>
              </c:strCache>
            </c:strRef>
          </c:cat>
          <c:val>
            <c:numRef>
              <c:f>'Pivot tables'!$F$4:$F$9</c:f>
              <c:numCache>
                <c:formatCode>0%</c:formatCode>
                <c:ptCount val="5"/>
                <c:pt idx="0">
                  <c:v>0.4</c:v>
                </c:pt>
                <c:pt idx="1">
                  <c:v>0.17599999999999999</c:v>
                </c:pt>
                <c:pt idx="2">
                  <c:v>0.154</c:v>
                </c:pt>
                <c:pt idx="3">
                  <c:v>9.2999999999999999E-2</c:v>
                </c:pt>
                <c:pt idx="4">
                  <c:v>0.17699999999999999</c:v>
                </c:pt>
              </c:numCache>
            </c:numRef>
          </c:val>
          <c:extLst>
            <c:ext xmlns:c16="http://schemas.microsoft.com/office/drawing/2014/chart" uri="{C3380CC4-5D6E-409C-BE32-E72D297353CC}">
              <c16:uniqueId val="{00000000-9469-41BE-9A4A-F799658F7092}"/>
            </c:ext>
          </c:extLst>
        </c:ser>
        <c:dLbls>
          <c:dLblPos val="outEnd"/>
          <c:showLegendKey val="0"/>
          <c:showVal val="1"/>
          <c:showCatName val="0"/>
          <c:showSerName val="0"/>
          <c:showPercent val="0"/>
          <c:showBubbleSize val="0"/>
        </c:dLbls>
        <c:gapWidth val="219"/>
        <c:overlap val="-27"/>
        <c:axId val="794688272"/>
        <c:axId val="794687856"/>
      </c:barChart>
      <c:catAx>
        <c:axId val="7946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87856"/>
        <c:crosses val="autoZero"/>
        <c:auto val="1"/>
        <c:lblAlgn val="ctr"/>
        <c:lblOffset val="100"/>
        <c:noMultiLvlLbl val="0"/>
      </c:catAx>
      <c:valAx>
        <c:axId val="79468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8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Hourly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Cybersecurity</c:v>
                </c:pt>
                <c:pt idx="1">
                  <c:v>Web Development</c:v>
                </c:pt>
                <c:pt idx="2">
                  <c:v>DevOps</c:v>
                </c:pt>
                <c:pt idx="3">
                  <c:v>UI/UX Design</c:v>
                </c:pt>
                <c:pt idx="4">
                  <c:v>AI</c:v>
                </c:pt>
                <c:pt idx="5">
                  <c:v>Machine Learning</c:v>
                </c:pt>
                <c:pt idx="6">
                  <c:v>Data Analysis</c:v>
                </c:pt>
                <c:pt idx="7">
                  <c:v>Mobile Apps</c:v>
                </c:pt>
                <c:pt idx="8">
                  <c:v>Graphic Design</c:v>
                </c:pt>
                <c:pt idx="9">
                  <c:v>Blockchain Development</c:v>
                </c:pt>
              </c:strCache>
            </c:strRef>
          </c:cat>
          <c:val>
            <c:numRef>
              <c:f>'Pivot tables'!$I$4:$I$14</c:f>
              <c:numCache>
                <c:formatCode>0.00</c:formatCode>
                <c:ptCount val="10"/>
                <c:pt idx="0">
                  <c:v>54.367088607594937</c:v>
                </c:pt>
                <c:pt idx="1">
                  <c:v>54.10526315789474</c:v>
                </c:pt>
                <c:pt idx="2">
                  <c:v>53.970588235294116</c:v>
                </c:pt>
                <c:pt idx="3">
                  <c:v>53.24742268041237</c:v>
                </c:pt>
                <c:pt idx="4">
                  <c:v>52.611111111111114</c:v>
                </c:pt>
                <c:pt idx="5">
                  <c:v>52.356321839080458</c:v>
                </c:pt>
                <c:pt idx="6">
                  <c:v>51.612903225806448</c:v>
                </c:pt>
                <c:pt idx="7">
                  <c:v>51.505376344086024</c:v>
                </c:pt>
                <c:pt idx="8">
                  <c:v>50.460526315789473</c:v>
                </c:pt>
                <c:pt idx="9">
                  <c:v>50.106382978723403</c:v>
                </c:pt>
              </c:numCache>
            </c:numRef>
          </c:val>
          <c:extLst>
            <c:ext xmlns:c16="http://schemas.microsoft.com/office/drawing/2014/chart" uri="{C3380CC4-5D6E-409C-BE32-E72D297353CC}">
              <c16:uniqueId val="{00000001-B6EA-4961-94FA-152B3FD0A168}"/>
            </c:ext>
          </c:extLst>
        </c:ser>
        <c:dLbls>
          <c:dLblPos val="outEnd"/>
          <c:showLegendKey val="0"/>
          <c:showVal val="1"/>
          <c:showCatName val="0"/>
          <c:showSerName val="0"/>
          <c:showPercent val="0"/>
          <c:showBubbleSize val="0"/>
        </c:dLbls>
        <c:gapWidth val="219"/>
        <c:overlap val="-27"/>
        <c:axId val="794151024"/>
        <c:axId val="794150608"/>
      </c:barChart>
      <c:catAx>
        <c:axId val="7941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50608"/>
        <c:crosses val="autoZero"/>
        <c:auto val="1"/>
        <c:lblAlgn val="ctr"/>
        <c:lblOffset val="100"/>
        <c:noMultiLvlLbl val="0"/>
      </c:catAx>
      <c:valAx>
        <c:axId val="794150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5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by Language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 tables'!$L$4:$L$20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88D5-4F59-8639-D84AAB0D109F}"/>
            </c:ext>
          </c:extLst>
        </c:ser>
        <c:dLbls>
          <c:dLblPos val="outEnd"/>
          <c:showLegendKey val="0"/>
          <c:showVal val="1"/>
          <c:showCatName val="0"/>
          <c:showSerName val="0"/>
          <c:showPercent val="0"/>
          <c:showBubbleSize val="0"/>
        </c:dLbls>
        <c:gapWidth val="182"/>
        <c:axId val="792652928"/>
        <c:axId val="793478576"/>
      </c:barChart>
      <c:catAx>
        <c:axId val="79265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78576"/>
        <c:crosses val="autoZero"/>
        <c:auto val="1"/>
        <c:lblAlgn val="ctr"/>
        <c:lblOffset val="100"/>
        <c:noMultiLvlLbl val="0"/>
      </c:catAx>
      <c:valAx>
        <c:axId val="7934785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6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tables'!$O$3</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 tables'!$O$4:$O$25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7A17-4586-8F04-F87804A37017}"/>
            </c:ext>
          </c:extLst>
        </c:ser>
        <c:dLbls>
          <c:dLblPos val="outEnd"/>
          <c:showLegendKey val="0"/>
          <c:showVal val="1"/>
          <c:showCatName val="0"/>
          <c:showSerName val="0"/>
          <c:showPercent val="0"/>
          <c:showBubbleSize val="0"/>
        </c:dLbls>
        <c:gapWidth val="182"/>
        <c:axId val="792943024"/>
        <c:axId val="792944688"/>
      </c:barChart>
      <c:catAx>
        <c:axId val="79294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44688"/>
        <c:crosses val="autoZero"/>
        <c:auto val="1"/>
        <c:lblAlgn val="ctr"/>
        <c:lblOffset val="100"/>
        <c:noMultiLvlLbl val="0"/>
      </c:catAx>
      <c:valAx>
        <c:axId val="792944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freelancers.xlsx]Pivot tables!PivotTable6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4BC9"/>
          </a:solidFill>
          <a:ln>
            <a:solidFill>
              <a:srgbClr val="934BC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tables'!$F$16</c:f>
              <c:strCache>
                <c:ptCount val="1"/>
                <c:pt idx="0">
                  <c:v>Total</c:v>
                </c:pt>
              </c:strCache>
            </c:strRef>
          </c:tx>
          <c:spPr>
            <a:solidFill>
              <a:srgbClr val="934BC9"/>
            </a:solidFill>
            <a:ln>
              <a:solidFill>
                <a:srgbClr val="934BC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tables'!$E$17:$E$19</c:f>
              <c:strCache>
                <c:ptCount val="2"/>
                <c:pt idx="0">
                  <c:v>Female</c:v>
                </c:pt>
                <c:pt idx="1">
                  <c:v>Male</c:v>
                </c:pt>
              </c:strCache>
            </c:strRef>
          </c:cat>
          <c:val>
            <c:numRef>
              <c:f>'Pivot tables'!$F$17:$F$19</c:f>
              <c:numCache>
                <c:formatCode>0.0%</c:formatCode>
                <c:ptCount val="2"/>
                <c:pt idx="0">
                  <c:v>0.49</c:v>
                </c:pt>
                <c:pt idx="1">
                  <c:v>0.51</c:v>
                </c:pt>
              </c:numCache>
            </c:numRef>
          </c:val>
          <c:extLst>
            <c:ext xmlns:c16="http://schemas.microsoft.com/office/drawing/2014/chart" uri="{C3380CC4-5D6E-409C-BE32-E72D297353CC}">
              <c16:uniqueId val="{00000000-FA41-431F-A4DE-7C847C006834}"/>
            </c:ext>
          </c:extLst>
        </c:ser>
        <c:dLbls>
          <c:dLblPos val="outEnd"/>
          <c:showLegendKey val="0"/>
          <c:showVal val="1"/>
          <c:showCatName val="0"/>
          <c:showSerName val="0"/>
          <c:showPercent val="0"/>
          <c:showBubbleSize val="0"/>
        </c:dLbls>
        <c:gapWidth val="182"/>
        <c:axId val="381434015"/>
        <c:axId val="381429439"/>
      </c:barChart>
      <c:catAx>
        <c:axId val="38143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29439"/>
        <c:crosses val="autoZero"/>
        <c:auto val="1"/>
        <c:lblAlgn val="ctr"/>
        <c:lblOffset val="100"/>
        <c:noMultiLvlLbl val="0"/>
      </c:catAx>
      <c:valAx>
        <c:axId val="381429439"/>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8143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322385</xdr:colOff>
      <xdr:row>1</xdr:row>
      <xdr:rowOff>77167</xdr:rowOff>
    </xdr:from>
    <xdr:to>
      <xdr:col>16</xdr:col>
      <xdr:colOff>559443</xdr:colOff>
      <xdr:row>16</xdr:row>
      <xdr:rowOff>68384</xdr:rowOff>
    </xdr:to>
    <xdr:graphicFrame macro="">
      <xdr:nvGraphicFramePr>
        <xdr:cNvPr id="2" name="Chart 1">
          <a:extLst>
            <a:ext uri="{FF2B5EF4-FFF2-40B4-BE49-F238E27FC236}">
              <a16:creationId xmlns:a16="http://schemas.microsoft.com/office/drawing/2014/main" id="{E5B29B3B-EA20-48D4-84D0-D0E5E0589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67519</xdr:colOff>
      <xdr:row>16</xdr:row>
      <xdr:rowOff>155813</xdr:rowOff>
    </xdr:from>
    <xdr:to>
      <xdr:col>8</xdr:col>
      <xdr:colOff>372319</xdr:colOff>
      <xdr:row>31</xdr:row>
      <xdr:rowOff>155814</xdr:rowOff>
    </xdr:to>
    <xdr:graphicFrame macro="">
      <xdr:nvGraphicFramePr>
        <xdr:cNvPr id="3" name="Chart 2">
          <a:extLst>
            <a:ext uri="{FF2B5EF4-FFF2-40B4-BE49-F238E27FC236}">
              <a16:creationId xmlns:a16="http://schemas.microsoft.com/office/drawing/2014/main" id="{E62EE6E6-60FB-4FCA-94D8-E6F5D00FA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434050</xdr:colOff>
      <xdr:row>16</xdr:row>
      <xdr:rowOff>146167</xdr:rowOff>
    </xdr:from>
    <xdr:to>
      <xdr:col>16</xdr:col>
      <xdr:colOff>559443</xdr:colOff>
      <xdr:row>31</xdr:row>
      <xdr:rowOff>146167</xdr:rowOff>
    </xdr:to>
    <xdr:graphicFrame macro="">
      <xdr:nvGraphicFramePr>
        <xdr:cNvPr id="4" name="Chart 3">
          <a:extLst>
            <a:ext uri="{FF2B5EF4-FFF2-40B4-BE49-F238E27FC236}">
              <a16:creationId xmlns:a16="http://schemas.microsoft.com/office/drawing/2014/main" id="{30B1ACE4-92A8-437B-B52C-7AF34730A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16</xdr:row>
      <xdr:rowOff>144560</xdr:rowOff>
    </xdr:from>
    <xdr:to>
      <xdr:col>24</xdr:col>
      <xdr:colOff>304800</xdr:colOff>
      <xdr:row>31</xdr:row>
      <xdr:rowOff>144560</xdr:rowOff>
    </xdr:to>
    <xdr:graphicFrame macro="">
      <xdr:nvGraphicFramePr>
        <xdr:cNvPr id="5" name="Chart 4">
          <a:extLst>
            <a:ext uri="{FF2B5EF4-FFF2-40B4-BE49-F238E27FC236}">
              <a16:creationId xmlns:a16="http://schemas.microsoft.com/office/drawing/2014/main" id="{8ADC9D78-A7A0-453E-B30E-ADE4F2A75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9646</xdr:colOff>
      <xdr:row>1</xdr:row>
      <xdr:rowOff>77165</xdr:rowOff>
    </xdr:from>
    <xdr:to>
      <xdr:col>24</xdr:col>
      <xdr:colOff>314446</xdr:colOff>
      <xdr:row>16</xdr:row>
      <xdr:rowOff>77166</xdr:rowOff>
    </xdr:to>
    <xdr:graphicFrame macro="">
      <xdr:nvGraphicFramePr>
        <xdr:cNvPr id="6" name="Chart 5">
          <a:extLst>
            <a:ext uri="{FF2B5EF4-FFF2-40B4-BE49-F238E27FC236}">
              <a16:creationId xmlns:a16="http://schemas.microsoft.com/office/drawing/2014/main" id="{084534A0-8242-4B47-B50D-6C98308D5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385990</xdr:colOff>
      <xdr:row>1</xdr:row>
      <xdr:rowOff>69685</xdr:rowOff>
    </xdr:from>
    <xdr:to>
      <xdr:col>7</xdr:col>
      <xdr:colOff>234463</xdr:colOff>
      <xdr:row>9</xdr:row>
      <xdr:rowOff>97694</xdr:rowOff>
    </xdr:to>
    <mc:AlternateContent xmlns:mc="http://schemas.openxmlformats.org/markup-compatibility/2006">
      <mc:Choice xmlns:a14="http://schemas.microsoft.com/office/drawing/2010/main" Requires="a14">
        <xdr:graphicFrame macro="">
          <xdr:nvGraphicFramePr>
            <xdr:cNvPr id="7" name="Primary Skill">
              <a:extLst>
                <a:ext uri="{FF2B5EF4-FFF2-40B4-BE49-F238E27FC236}">
                  <a16:creationId xmlns:a16="http://schemas.microsoft.com/office/drawing/2014/main" id="{E323D58A-31FA-492F-B66E-F92A75E8D6BF}"/>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dr:sp macro="" textlink="">
          <xdr:nvSpPr>
            <xdr:cNvPr id="0" name=""/>
            <xdr:cNvSpPr>
              <a:spLocks noTextEdit="1"/>
            </xdr:cNvSpPr>
          </xdr:nvSpPr>
          <xdr:spPr>
            <a:xfrm>
              <a:off x="2209003" y="252951"/>
              <a:ext cx="2279156" cy="1494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62491</xdr:colOff>
      <xdr:row>1</xdr:row>
      <xdr:rowOff>89347</xdr:rowOff>
    </xdr:from>
    <xdr:to>
      <xdr:col>3</xdr:col>
      <xdr:colOff>322385</xdr:colOff>
      <xdr:row>9</xdr:row>
      <xdr:rowOff>117232</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49EB4ABC-8EA4-469F-B8D9-DB8AE27A1A5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70162" y="272613"/>
              <a:ext cx="1475236" cy="1494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68384</xdr:colOff>
      <xdr:row>9</xdr:row>
      <xdr:rowOff>175846</xdr:rowOff>
    </xdr:from>
    <xdr:to>
      <xdr:col>3</xdr:col>
      <xdr:colOff>293077</xdr:colOff>
      <xdr:row>16</xdr:row>
      <xdr:rowOff>39077</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348359B0-63CA-45B5-B197-9B73155929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76055" y="1825238"/>
              <a:ext cx="1440035" cy="1146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390770</xdr:colOff>
      <xdr:row>9</xdr:row>
      <xdr:rowOff>175846</xdr:rowOff>
    </xdr:from>
    <xdr:to>
      <xdr:col>7</xdr:col>
      <xdr:colOff>224693</xdr:colOff>
      <xdr:row>16</xdr:row>
      <xdr:rowOff>48845</xdr:rowOff>
    </xdr:to>
    <xdr:graphicFrame macro="">
      <xdr:nvGraphicFramePr>
        <xdr:cNvPr id="12" name="Chart 11">
          <a:extLst>
            <a:ext uri="{FF2B5EF4-FFF2-40B4-BE49-F238E27FC236}">
              <a16:creationId xmlns:a16="http://schemas.microsoft.com/office/drawing/2014/main" id="{4787A6B4-957B-461D-B2F5-F9BB61ED1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8.750139236108" createdVersion="7" refreshedVersion="7" minRefreshableVersion="3" recordCount="1000" xr:uid="{9C8B71ED-9532-46D0-A908-044BA2C4CDCB}">
  <cacheSource type="worksheet">
    <worksheetSource ref="A1:M1001" sheet="Clean data"/>
  </cacheSource>
  <cacheFields count="13">
    <cacheField name="Freelancer_ID" numFmtId="0">
      <sharedItems/>
    </cacheField>
    <cacheField name="Full Name" numFmtId="0">
      <sharedItems/>
    </cacheField>
    <cacheField name="Gender" numFmtId="0">
      <sharedItems count="2">
        <s v="Female"/>
        <s v="Male"/>
      </sharedItems>
    </cacheField>
    <cacheField name="Age" numFmtId="0">
      <sharedItems containsString="0" containsBlank="1" containsNumber="1" containsInteger="1" minValue="20" maxValue="60"/>
    </cacheField>
    <cacheField name="Country" numFmtId="0">
      <sharedItems count="21">
        <s v="Italy"/>
        <s v="Australia"/>
        <s v="Germany"/>
        <s v="Netherlands"/>
        <s v="Indonesia"/>
        <s v="United States"/>
        <s v="Turkey"/>
        <s v="United Kingdom"/>
        <s v="Argentina"/>
        <s v="Japan"/>
        <s v="India"/>
        <s v="Brazil"/>
        <s v="South Korea"/>
        <s v="Russia"/>
        <s v="Canada"/>
        <s v="France"/>
        <s v="Egypt"/>
        <s v="South Africa"/>
        <s v="China"/>
        <s v="Mexico"/>
        <s v="Spain"/>
      </sharedItems>
    </cacheField>
    <cacheField name="Language" numFmtId="0">
      <sharedItems count="16">
        <s v="Italian"/>
        <s v="English"/>
        <s v="German"/>
        <s v="Dutch"/>
        <s v="Indonesian"/>
        <s v="Turkish"/>
        <s v="Spanish"/>
        <s v="Japanese"/>
        <s v="Hindi"/>
        <s v="Portuguese"/>
        <s v="Korean"/>
        <s v="Russian"/>
        <s v="French"/>
        <s v="Arabic"/>
        <s v="Afrikaans"/>
        <s v="Mandarin"/>
      </sharedItems>
    </cacheField>
    <cacheField name="Primary Skill" numFmtId="0">
      <sharedItems count="10">
        <s v="Blockchain Development"/>
        <s v="Mobile Apps"/>
        <s v="Graphic Design"/>
        <s v="Web Development"/>
        <s v="AI"/>
        <s v="Data Analysis"/>
        <s v="UI/UX Design"/>
        <s v="Cybersecurity"/>
        <s v="DevOps"/>
        <s v="Machine Learning"/>
      </sharedItems>
    </cacheField>
    <cacheField name="years_of_experience" numFmtId="0">
      <sharedItems containsString="0" containsBlank="1" containsNumber="1" containsInteger="1" minValue="0" maxValue="41"/>
    </cacheField>
    <cacheField name="Years of experience" numFmtId="0">
      <sharedItems count="5">
        <s v="21+"/>
        <s v="0-5"/>
        <s v="11-15"/>
        <s v="6-10"/>
        <s v="16-20"/>
      </sharedItems>
    </cacheField>
    <cacheField name="Hourly Rate" numFmtId="0">
      <sharedItems containsString="0" containsBlank="1" containsNumber="1" containsInteger="1" minValue="20" maxValue="100" count="7">
        <n v="100"/>
        <n v="50"/>
        <n v="40"/>
        <n v="30"/>
        <n v="75"/>
        <m/>
        <n v="20"/>
      </sharedItems>
    </cacheField>
    <cacheField name="Rating" numFmtId="0">
      <sharedItems containsString="0" containsBlank="1" containsNumber="1" minValue="0" maxValue="5"/>
    </cacheField>
    <cacheField name="Status" numFmtId="0">
      <sharedItems containsBlank="1" count="3">
        <s v="Not Active"/>
        <s v="Active"/>
        <m/>
      </sharedItems>
    </cacheField>
    <cacheField name="Client Satisfaction" numFmtId="0">
      <sharedItems containsString="0" containsBlank="1" containsNumber="1" minValue="0.6" maxValue="1"/>
    </cacheField>
  </cacheFields>
  <extLst>
    <ext xmlns:x14="http://schemas.microsoft.com/office/spreadsheetml/2009/9/main" uri="{725AE2AE-9491-48be-B2B4-4EB974FC3084}">
      <x14:pivotCacheDefinition pivotCacheId="98828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Nicole Kidd"/>
    <x v="0"/>
    <n v="52"/>
    <x v="0"/>
    <x v="0"/>
    <x v="0"/>
    <n v="34"/>
    <x v="0"/>
    <x v="0"/>
    <m/>
    <x v="0"/>
    <m/>
  </r>
  <r>
    <s v="FL250002"/>
    <s v="Vanessa Garcia"/>
    <x v="0"/>
    <n v="52"/>
    <x v="1"/>
    <x v="1"/>
    <x v="1"/>
    <n v="31"/>
    <x v="0"/>
    <x v="0"/>
    <n v="3.3"/>
    <x v="1"/>
    <n v="0.84"/>
  </r>
  <r>
    <s v="FL250003"/>
    <s v="Juan Nelson"/>
    <x v="1"/>
    <n v="53"/>
    <x v="2"/>
    <x v="2"/>
    <x v="2"/>
    <n v="4"/>
    <x v="1"/>
    <x v="1"/>
    <n v="0"/>
    <x v="0"/>
    <n v="0.71"/>
  </r>
  <r>
    <s v="FL250004"/>
    <s v="Amanda Spencer"/>
    <x v="0"/>
    <n v="38"/>
    <x v="1"/>
    <x v="1"/>
    <x v="3"/>
    <n v="27"/>
    <x v="0"/>
    <x v="2"/>
    <n v="1.5"/>
    <x v="0"/>
    <n v="0.9"/>
  </r>
  <r>
    <s v="FL250005"/>
    <s v="Lynn Curtis"/>
    <x v="0"/>
    <n v="53"/>
    <x v="2"/>
    <x v="2"/>
    <x v="3"/>
    <n v="14"/>
    <x v="2"/>
    <x v="3"/>
    <n v="4.8"/>
    <x v="0"/>
    <n v="0.83"/>
  </r>
  <r>
    <s v="FL250006"/>
    <s v="Lisa Johnson"/>
    <x v="0"/>
    <n v="59"/>
    <x v="3"/>
    <x v="3"/>
    <x v="4"/>
    <n v="10"/>
    <x v="3"/>
    <x v="3"/>
    <n v="2.4"/>
    <x v="0"/>
    <m/>
  </r>
  <r>
    <s v="FL250007"/>
    <s v="Eric Myers"/>
    <x v="1"/>
    <n v="52"/>
    <x v="4"/>
    <x v="4"/>
    <x v="5"/>
    <n v="14"/>
    <x v="2"/>
    <x v="4"/>
    <n v="3.1"/>
    <x v="0"/>
    <n v="0.94"/>
  </r>
  <r>
    <s v="FL250008"/>
    <s v="Ricky Graham"/>
    <x v="1"/>
    <n v="43"/>
    <x v="0"/>
    <x v="0"/>
    <x v="0"/>
    <n v="4"/>
    <x v="1"/>
    <x v="2"/>
    <n v="4.5999999999999996"/>
    <x v="0"/>
    <n v="0.94"/>
  </r>
  <r>
    <s v="FL250009"/>
    <s v="Sean Martin"/>
    <x v="1"/>
    <n v="26"/>
    <x v="5"/>
    <x v="1"/>
    <x v="0"/>
    <n v="22"/>
    <x v="0"/>
    <x v="5"/>
    <n v="4"/>
    <x v="1"/>
    <n v="0.76"/>
  </r>
  <r>
    <s v="FL250010"/>
    <s v="Matthew Lloyd"/>
    <x v="1"/>
    <n v="52"/>
    <x v="6"/>
    <x v="5"/>
    <x v="4"/>
    <n v="17"/>
    <x v="4"/>
    <x v="1"/>
    <m/>
    <x v="1"/>
    <m/>
  </r>
  <r>
    <s v="FL250011"/>
    <s v="Gavin Randall"/>
    <x v="1"/>
    <n v="40"/>
    <x v="7"/>
    <x v="1"/>
    <x v="5"/>
    <n v="15"/>
    <x v="2"/>
    <x v="2"/>
    <n v="3.6"/>
    <x v="1"/>
    <n v="0.77"/>
  </r>
  <r>
    <s v="FL250012"/>
    <s v="Michelle Curtis"/>
    <x v="0"/>
    <n v="55"/>
    <x v="8"/>
    <x v="6"/>
    <x v="6"/>
    <n v="18"/>
    <x v="4"/>
    <x v="5"/>
    <m/>
    <x v="1"/>
    <n v="0.86"/>
  </r>
  <r>
    <s v="FL250013"/>
    <s v="Alice Schneider"/>
    <x v="0"/>
    <n v="57"/>
    <x v="7"/>
    <x v="1"/>
    <x v="7"/>
    <n v="20"/>
    <x v="4"/>
    <x v="5"/>
    <n v="2"/>
    <x v="0"/>
    <n v="0.86"/>
  </r>
  <r>
    <s v="FL250014"/>
    <s v="Phillip Shelton"/>
    <x v="1"/>
    <n v="38"/>
    <x v="8"/>
    <x v="6"/>
    <x v="2"/>
    <n v="22"/>
    <x v="0"/>
    <x v="4"/>
    <n v="2.9"/>
    <x v="1"/>
    <n v="0.93"/>
  </r>
  <r>
    <s v="FL250015"/>
    <s v="Edward Ferguson"/>
    <x v="1"/>
    <n v="50"/>
    <x v="2"/>
    <x v="2"/>
    <x v="5"/>
    <n v="0"/>
    <x v="1"/>
    <x v="4"/>
    <n v="3.7"/>
    <x v="1"/>
    <n v="0.7"/>
  </r>
  <r>
    <s v="FL250016"/>
    <s v="Wyatt Stout"/>
    <x v="1"/>
    <n v="42"/>
    <x v="9"/>
    <x v="7"/>
    <x v="5"/>
    <n v="13"/>
    <x v="2"/>
    <x v="3"/>
    <n v="1.2"/>
    <x v="0"/>
    <n v="0.69"/>
  </r>
  <r>
    <s v="FL250017"/>
    <s v="Laura Johnson"/>
    <x v="0"/>
    <n v="39"/>
    <x v="1"/>
    <x v="1"/>
    <x v="8"/>
    <m/>
    <x v="1"/>
    <x v="3"/>
    <n v="2.5"/>
    <x v="0"/>
    <n v="0.6"/>
  </r>
  <r>
    <s v="FL250018"/>
    <s v="Scott Burns"/>
    <x v="1"/>
    <n v="56"/>
    <x v="10"/>
    <x v="8"/>
    <x v="0"/>
    <n v="31"/>
    <x v="0"/>
    <x v="5"/>
    <m/>
    <x v="2"/>
    <n v="0.87"/>
  </r>
  <r>
    <s v="FL250019"/>
    <s v="Tyler Aguirre"/>
    <x v="1"/>
    <n v="56"/>
    <x v="5"/>
    <x v="1"/>
    <x v="6"/>
    <n v="3"/>
    <x v="1"/>
    <x v="1"/>
    <n v="1.1000000000000001"/>
    <x v="0"/>
    <n v="0.75"/>
  </r>
  <r>
    <s v="FL250020"/>
    <s v="Matthew Lawson"/>
    <x v="1"/>
    <n v="57"/>
    <x v="0"/>
    <x v="0"/>
    <x v="3"/>
    <n v="9"/>
    <x v="3"/>
    <x v="0"/>
    <n v="1.8"/>
    <x v="1"/>
    <n v="0.68"/>
  </r>
  <r>
    <s v="FL250021"/>
    <s v="James Cherry"/>
    <x v="1"/>
    <m/>
    <x v="4"/>
    <x v="4"/>
    <x v="4"/>
    <m/>
    <x v="1"/>
    <x v="1"/>
    <n v="1.8"/>
    <x v="0"/>
    <n v="0.65"/>
  </r>
  <r>
    <s v="FL250022"/>
    <s v="Samuel Sanford"/>
    <x v="1"/>
    <n v="51"/>
    <x v="9"/>
    <x v="7"/>
    <x v="8"/>
    <n v="21"/>
    <x v="0"/>
    <x v="5"/>
    <n v="2.4"/>
    <x v="0"/>
    <n v="0.69"/>
  </r>
  <r>
    <s v="FL250023"/>
    <s v="Cesar Greene"/>
    <x v="1"/>
    <n v="51"/>
    <x v="11"/>
    <x v="9"/>
    <x v="7"/>
    <n v="15"/>
    <x v="2"/>
    <x v="3"/>
    <n v="4.7"/>
    <x v="0"/>
    <m/>
  </r>
  <r>
    <s v="FL250024"/>
    <s v="Melanie Carter"/>
    <x v="0"/>
    <n v="51"/>
    <x v="12"/>
    <x v="10"/>
    <x v="9"/>
    <n v="13"/>
    <x v="2"/>
    <x v="1"/>
    <n v="1.3"/>
    <x v="1"/>
    <n v="1"/>
  </r>
  <r>
    <s v="FL250025"/>
    <s v="Jennifer Martin"/>
    <x v="0"/>
    <n v="54"/>
    <x v="4"/>
    <x v="4"/>
    <x v="9"/>
    <n v="0"/>
    <x v="1"/>
    <x v="4"/>
    <n v="2.9"/>
    <x v="2"/>
    <n v="0.92"/>
  </r>
  <r>
    <s v="FL250026"/>
    <s v="Anna Mccann"/>
    <x v="0"/>
    <n v="22"/>
    <x v="12"/>
    <x v="10"/>
    <x v="8"/>
    <n v="8"/>
    <x v="3"/>
    <x v="3"/>
    <n v="1.2"/>
    <x v="1"/>
    <n v="0.7"/>
  </r>
  <r>
    <s v="FL250027"/>
    <s v="Marissa Bass"/>
    <x v="0"/>
    <n v="34"/>
    <x v="9"/>
    <x v="7"/>
    <x v="0"/>
    <n v="11"/>
    <x v="2"/>
    <x v="6"/>
    <n v="0"/>
    <x v="1"/>
    <n v="0.89"/>
  </r>
  <r>
    <s v="FL250028"/>
    <s v="Alexis Day"/>
    <x v="0"/>
    <n v="36"/>
    <x v="13"/>
    <x v="11"/>
    <x v="2"/>
    <n v="22"/>
    <x v="0"/>
    <x v="5"/>
    <n v="1.8"/>
    <x v="1"/>
    <n v="0.86"/>
  </r>
  <r>
    <s v="FL250029"/>
    <s v="Megan Jones"/>
    <x v="0"/>
    <n v="47"/>
    <x v="14"/>
    <x v="1"/>
    <x v="4"/>
    <n v="14"/>
    <x v="2"/>
    <x v="3"/>
    <n v="1.3"/>
    <x v="0"/>
    <n v="0.62"/>
  </r>
  <r>
    <s v="FL250030"/>
    <s v="Lori Smith"/>
    <x v="0"/>
    <n v="41"/>
    <x v="3"/>
    <x v="3"/>
    <x v="5"/>
    <n v="4"/>
    <x v="1"/>
    <x v="4"/>
    <n v="1.2"/>
    <x v="0"/>
    <m/>
  </r>
  <r>
    <s v="FL250031"/>
    <s v="Eric Carpenter"/>
    <x v="1"/>
    <n v="22"/>
    <x v="3"/>
    <x v="3"/>
    <x v="8"/>
    <n v="19"/>
    <x v="4"/>
    <x v="5"/>
    <n v="1"/>
    <x v="1"/>
    <m/>
  </r>
  <r>
    <s v="FL250032"/>
    <s v="Timothy Daniels"/>
    <x v="1"/>
    <n v="38"/>
    <x v="15"/>
    <x v="12"/>
    <x v="9"/>
    <n v="9"/>
    <x v="3"/>
    <x v="0"/>
    <n v="4.2"/>
    <x v="0"/>
    <n v="0.68"/>
  </r>
  <r>
    <s v="FL250033"/>
    <s v="Robert Nelson"/>
    <x v="1"/>
    <n v="46"/>
    <x v="16"/>
    <x v="13"/>
    <x v="4"/>
    <n v="9"/>
    <x v="3"/>
    <x v="6"/>
    <n v="1.4"/>
    <x v="1"/>
    <n v="0.76"/>
  </r>
  <r>
    <s v="FL250034"/>
    <s v="Michael Anderson"/>
    <x v="1"/>
    <m/>
    <x v="12"/>
    <x v="10"/>
    <x v="4"/>
    <n v="32"/>
    <x v="0"/>
    <x v="2"/>
    <n v="2.4"/>
    <x v="1"/>
    <n v="0.82"/>
  </r>
  <r>
    <s v="FL250035"/>
    <s v="Jessica Snyder"/>
    <x v="0"/>
    <n v="54"/>
    <x v="5"/>
    <x v="1"/>
    <x v="3"/>
    <n v="28"/>
    <x v="0"/>
    <x v="4"/>
    <n v="1"/>
    <x v="1"/>
    <n v="0.81"/>
  </r>
  <r>
    <s v="FL250036"/>
    <s v="Emily Daniels"/>
    <x v="0"/>
    <n v="52"/>
    <x v="12"/>
    <x v="10"/>
    <x v="3"/>
    <n v="6"/>
    <x v="3"/>
    <x v="6"/>
    <m/>
    <x v="0"/>
    <m/>
  </r>
  <r>
    <s v="FL250037"/>
    <s v="Jamie Ramirez"/>
    <x v="0"/>
    <n v="42"/>
    <x v="9"/>
    <x v="7"/>
    <x v="1"/>
    <n v="10"/>
    <x v="3"/>
    <x v="2"/>
    <m/>
    <x v="0"/>
    <n v="0.63"/>
  </r>
  <r>
    <s v="FL250038"/>
    <s v="Amy Harrison"/>
    <x v="0"/>
    <n v="29"/>
    <x v="3"/>
    <x v="3"/>
    <x v="2"/>
    <n v="23"/>
    <x v="0"/>
    <x v="2"/>
    <n v="2.2000000000000002"/>
    <x v="0"/>
    <n v="0.67"/>
  </r>
  <r>
    <s v="FL250039"/>
    <s v="Melinda White"/>
    <x v="0"/>
    <n v="42"/>
    <x v="17"/>
    <x v="14"/>
    <x v="1"/>
    <n v="13"/>
    <x v="2"/>
    <x v="1"/>
    <n v="3.2"/>
    <x v="1"/>
    <m/>
  </r>
  <r>
    <s v="FL250040"/>
    <s v="James Hernandez"/>
    <x v="1"/>
    <n v="60"/>
    <x v="9"/>
    <x v="7"/>
    <x v="3"/>
    <n v="3"/>
    <x v="1"/>
    <x v="6"/>
    <n v="3.6"/>
    <x v="0"/>
    <n v="0.8"/>
  </r>
  <r>
    <s v="FL250041"/>
    <s v="Angelica Rogers"/>
    <x v="0"/>
    <n v="59"/>
    <x v="7"/>
    <x v="1"/>
    <x v="4"/>
    <n v="0"/>
    <x v="1"/>
    <x v="1"/>
    <n v="0"/>
    <x v="0"/>
    <m/>
  </r>
  <r>
    <s v="FL250042"/>
    <s v="Savannah Williams"/>
    <x v="0"/>
    <n v="21"/>
    <x v="14"/>
    <x v="1"/>
    <x v="3"/>
    <n v="10"/>
    <x v="3"/>
    <x v="3"/>
    <n v="2.7"/>
    <x v="1"/>
    <n v="0.84"/>
  </r>
  <r>
    <s v="FL250043"/>
    <s v="Kaitlyn Schmidt"/>
    <x v="0"/>
    <n v="35"/>
    <x v="2"/>
    <x v="2"/>
    <x v="8"/>
    <m/>
    <x v="1"/>
    <x v="1"/>
    <n v="0"/>
    <x v="0"/>
    <m/>
  </r>
  <r>
    <s v="FL250044"/>
    <s v="Jason Singh"/>
    <x v="1"/>
    <n v="41"/>
    <x v="7"/>
    <x v="1"/>
    <x v="5"/>
    <n v="23"/>
    <x v="0"/>
    <x v="6"/>
    <n v="2.8"/>
    <x v="1"/>
    <n v="0.63"/>
  </r>
  <r>
    <s v="FL250045"/>
    <s v="Michelle Ramirez"/>
    <x v="0"/>
    <n v="51"/>
    <x v="3"/>
    <x v="3"/>
    <x v="9"/>
    <n v="9"/>
    <x v="3"/>
    <x v="6"/>
    <n v="2.5"/>
    <x v="0"/>
    <n v="0.8"/>
  </r>
  <r>
    <s v="FL250046"/>
    <s v="James Brown"/>
    <x v="1"/>
    <n v="41"/>
    <x v="17"/>
    <x v="14"/>
    <x v="3"/>
    <n v="4"/>
    <x v="1"/>
    <x v="4"/>
    <n v="4.9000000000000004"/>
    <x v="1"/>
    <n v="0.74"/>
  </r>
  <r>
    <s v="FL250047"/>
    <s v="Samantha Simmons"/>
    <x v="0"/>
    <n v="47"/>
    <x v="16"/>
    <x v="13"/>
    <x v="8"/>
    <n v="7"/>
    <x v="3"/>
    <x v="3"/>
    <n v="4.5"/>
    <x v="1"/>
    <n v="0.85"/>
  </r>
  <r>
    <s v="FL250048"/>
    <s v="Chase Mason"/>
    <x v="1"/>
    <n v="25"/>
    <x v="18"/>
    <x v="15"/>
    <x v="2"/>
    <n v="1"/>
    <x v="1"/>
    <x v="1"/>
    <n v="2.7"/>
    <x v="0"/>
    <n v="0.77"/>
  </r>
  <r>
    <s v="FL250049"/>
    <s v="Dominique Ward"/>
    <x v="0"/>
    <n v="25"/>
    <x v="19"/>
    <x v="6"/>
    <x v="1"/>
    <n v="0"/>
    <x v="1"/>
    <x v="6"/>
    <n v="1.9"/>
    <x v="0"/>
    <m/>
  </r>
  <r>
    <s v="FL250050"/>
    <s v="Lance Griffin"/>
    <x v="1"/>
    <n v="29"/>
    <x v="3"/>
    <x v="3"/>
    <x v="6"/>
    <n v="8"/>
    <x v="3"/>
    <x v="6"/>
    <n v="1.4"/>
    <x v="1"/>
    <n v="0.63"/>
  </r>
  <r>
    <s v="FL250051"/>
    <s v="Julie Burgess"/>
    <x v="0"/>
    <n v="23"/>
    <x v="8"/>
    <x v="6"/>
    <x v="7"/>
    <n v="33"/>
    <x v="0"/>
    <x v="4"/>
    <n v="1.9"/>
    <x v="1"/>
    <n v="0.79"/>
  </r>
  <r>
    <s v="FL250052"/>
    <s v="Don Scott"/>
    <x v="1"/>
    <n v="31"/>
    <x v="15"/>
    <x v="12"/>
    <x v="5"/>
    <n v="1"/>
    <x v="1"/>
    <x v="1"/>
    <n v="3.4"/>
    <x v="0"/>
    <m/>
  </r>
  <r>
    <s v="FL250053"/>
    <s v="Kyle Atkinson"/>
    <x v="1"/>
    <n v="51"/>
    <x v="2"/>
    <x v="2"/>
    <x v="9"/>
    <n v="11"/>
    <x v="2"/>
    <x v="4"/>
    <n v="3.3"/>
    <x v="2"/>
    <n v="0.68"/>
  </r>
  <r>
    <s v="FL250054"/>
    <s v="Jimmy Hogan"/>
    <x v="1"/>
    <m/>
    <x v="20"/>
    <x v="6"/>
    <x v="6"/>
    <n v="15"/>
    <x v="2"/>
    <x v="3"/>
    <n v="0"/>
    <x v="0"/>
    <n v="0.68"/>
  </r>
  <r>
    <s v="FL250055"/>
    <s v="Jennifer Mcintyre"/>
    <x v="0"/>
    <n v="29"/>
    <x v="6"/>
    <x v="5"/>
    <x v="7"/>
    <n v="8"/>
    <x v="3"/>
    <x v="0"/>
    <n v="2.2999999999999998"/>
    <x v="1"/>
    <n v="0.72"/>
  </r>
  <r>
    <s v="FL250056"/>
    <s v="Larry Simpson"/>
    <x v="1"/>
    <n v="50"/>
    <x v="7"/>
    <x v="1"/>
    <x v="4"/>
    <n v="17"/>
    <x v="4"/>
    <x v="5"/>
    <n v="2"/>
    <x v="1"/>
    <n v="0.65"/>
  </r>
  <r>
    <s v="FL250057"/>
    <s v="Laura Price"/>
    <x v="0"/>
    <n v="26"/>
    <x v="7"/>
    <x v="1"/>
    <x v="8"/>
    <m/>
    <x v="1"/>
    <x v="1"/>
    <n v="1.3"/>
    <x v="0"/>
    <n v="0.76"/>
  </r>
  <r>
    <s v="FL250058"/>
    <s v="Mark Wright"/>
    <x v="1"/>
    <n v="38"/>
    <x v="14"/>
    <x v="1"/>
    <x v="4"/>
    <n v="28"/>
    <x v="0"/>
    <x v="2"/>
    <n v="4"/>
    <x v="1"/>
    <n v="0.9"/>
  </r>
  <r>
    <s v="FL250059"/>
    <s v="Samantha Mcdaniel"/>
    <x v="0"/>
    <n v="23"/>
    <x v="10"/>
    <x v="8"/>
    <x v="1"/>
    <n v="33"/>
    <x v="0"/>
    <x v="4"/>
    <n v="3.6"/>
    <x v="1"/>
    <n v="0.65"/>
  </r>
  <r>
    <s v="FL250060"/>
    <s v="Barbara Foster"/>
    <x v="0"/>
    <n v="51"/>
    <x v="17"/>
    <x v="14"/>
    <x v="8"/>
    <n v="18"/>
    <x v="4"/>
    <x v="2"/>
    <n v="3.9"/>
    <x v="0"/>
    <n v="0.63"/>
  </r>
  <r>
    <s v="FL250061"/>
    <s v="Courtney Tran"/>
    <x v="0"/>
    <n v="51"/>
    <x v="4"/>
    <x v="4"/>
    <x v="4"/>
    <n v="16"/>
    <x v="4"/>
    <x v="4"/>
    <n v="0"/>
    <x v="1"/>
    <m/>
  </r>
  <r>
    <s v="FL250062"/>
    <s v="Eddie Todd"/>
    <x v="1"/>
    <n v="47"/>
    <x v="2"/>
    <x v="2"/>
    <x v="4"/>
    <n v="35"/>
    <x v="0"/>
    <x v="4"/>
    <n v="0"/>
    <x v="0"/>
    <m/>
  </r>
  <r>
    <s v="FL250063"/>
    <s v="Christine Johnson"/>
    <x v="0"/>
    <n v="34"/>
    <x v="13"/>
    <x v="11"/>
    <x v="6"/>
    <n v="14"/>
    <x v="2"/>
    <x v="6"/>
    <n v="2.2999999999999998"/>
    <x v="1"/>
    <n v="0.93"/>
  </r>
  <r>
    <s v="FL250064"/>
    <s v="Leah Phelps"/>
    <x v="0"/>
    <n v="58"/>
    <x v="4"/>
    <x v="4"/>
    <x v="5"/>
    <n v="12"/>
    <x v="2"/>
    <x v="1"/>
    <n v="4.7"/>
    <x v="0"/>
    <n v="0.7"/>
  </r>
  <r>
    <s v="FL250065"/>
    <s v="Rebekah Williams"/>
    <x v="0"/>
    <n v="50"/>
    <x v="13"/>
    <x v="11"/>
    <x v="4"/>
    <n v="11"/>
    <x v="2"/>
    <x v="5"/>
    <n v="3.5"/>
    <x v="1"/>
    <n v="0.83"/>
  </r>
  <r>
    <s v="FL250066"/>
    <s v="Crystal Wilson"/>
    <x v="0"/>
    <n v="34"/>
    <x v="20"/>
    <x v="6"/>
    <x v="3"/>
    <n v="0"/>
    <x v="1"/>
    <x v="2"/>
    <n v="2.4"/>
    <x v="1"/>
    <n v="0.64"/>
  </r>
  <r>
    <s v="FL250067"/>
    <s v="Ashley Cordova"/>
    <x v="0"/>
    <n v="45"/>
    <x v="11"/>
    <x v="9"/>
    <x v="4"/>
    <n v="6"/>
    <x v="3"/>
    <x v="4"/>
    <n v="4"/>
    <x v="0"/>
    <n v="1"/>
  </r>
  <r>
    <s v="FL250068"/>
    <s v="Vicki Kelly"/>
    <x v="0"/>
    <n v="55"/>
    <x v="11"/>
    <x v="9"/>
    <x v="3"/>
    <n v="38"/>
    <x v="0"/>
    <x v="2"/>
    <n v="0"/>
    <x v="1"/>
    <m/>
  </r>
  <r>
    <s v="FL250069"/>
    <s v="Corey Warren"/>
    <x v="1"/>
    <m/>
    <x v="8"/>
    <x v="6"/>
    <x v="6"/>
    <n v="11"/>
    <x v="2"/>
    <x v="0"/>
    <n v="1.5"/>
    <x v="0"/>
    <m/>
  </r>
  <r>
    <s v="FL250070"/>
    <s v="Gina Thompson"/>
    <x v="0"/>
    <n v="60"/>
    <x v="18"/>
    <x v="15"/>
    <x v="6"/>
    <n v="13"/>
    <x v="2"/>
    <x v="6"/>
    <n v="2"/>
    <x v="0"/>
    <n v="0.71"/>
  </r>
  <r>
    <s v="FL250071"/>
    <s v="Yvonne Berg"/>
    <x v="0"/>
    <n v="33"/>
    <x v="17"/>
    <x v="14"/>
    <x v="1"/>
    <n v="9"/>
    <x v="3"/>
    <x v="5"/>
    <m/>
    <x v="1"/>
    <n v="0.84"/>
  </r>
  <r>
    <s v="FL250072"/>
    <s v="Thomas Miller"/>
    <x v="1"/>
    <n v="60"/>
    <x v="0"/>
    <x v="0"/>
    <x v="8"/>
    <n v="4"/>
    <x v="1"/>
    <x v="1"/>
    <n v="1"/>
    <x v="0"/>
    <m/>
  </r>
  <r>
    <s v="FL250073"/>
    <s v="Nicholas Burton"/>
    <x v="1"/>
    <n v="40"/>
    <x v="5"/>
    <x v="1"/>
    <x v="3"/>
    <n v="14"/>
    <x v="2"/>
    <x v="0"/>
    <n v="4.5"/>
    <x v="1"/>
    <n v="0.69"/>
  </r>
  <r>
    <s v="FL250074"/>
    <s v="Jorge Riley"/>
    <x v="1"/>
    <n v="59"/>
    <x v="1"/>
    <x v="1"/>
    <x v="0"/>
    <m/>
    <x v="1"/>
    <x v="5"/>
    <n v="1.9"/>
    <x v="0"/>
    <n v="0.88"/>
  </r>
  <r>
    <s v="FL250075"/>
    <s v="Melvin Harris"/>
    <x v="1"/>
    <n v="36"/>
    <x v="0"/>
    <x v="0"/>
    <x v="9"/>
    <n v="9"/>
    <x v="3"/>
    <x v="0"/>
    <n v="3.7"/>
    <x v="0"/>
    <m/>
  </r>
  <r>
    <s v="FL250076"/>
    <s v="Jeremy Meyer"/>
    <x v="1"/>
    <n v="32"/>
    <x v="10"/>
    <x v="8"/>
    <x v="5"/>
    <n v="32"/>
    <x v="0"/>
    <x v="3"/>
    <n v="1.9"/>
    <x v="1"/>
    <n v="0.96"/>
  </r>
  <r>
    <s v="FL250077"/>
    <s v="Timothy Lee"/>
    <x v="1"/>
    <n v="59"/>
    <x v="1"/>
    <x v="1"/>
    <x v="4"/>
    <n v="9"/>
    <x v="3"/>
    <x v="4"/>
    <n v="4"/>
    <x v="1"/>
    <n v="0.96"/>
  </r>
  <r>
    <s v="FL250078"/>
    <s v="Diana Bautista"/>
    <x v="0"/>
    <n v="54"/>
    <x v="20"/>
    <x v="6"/>
    <x v="8"/>
    <n v="21"/>
    <x v="0"/>
    <x v="2"/>
    <n v="1.8"/>
    <x v="0"/>
    <m/>
  </r>
  <r>
    <s v="FL250079"/>
    <s v="Leslie Rodriguez"/>
    <x v="0"/>
    <n v="37"/>
    <x v="14"/>
    <x v="1"/>
    <x v="2"/>
    <n v="12"/>
    <x v="2"/>
    <x v="5"/>
    <n v="0"/>
    <x v="1"/>
    <n v="0.89"/>
  </r>
  <r>
    <s v="FL250080"/>
    <s v="Noah Wiggins"/>
    <x v="1"/>
    <n v="54"/>
    <x v="10"/>
    <x v="8"/>
    <x v="9"/>
    <n v="7"/>
    <x v="3"/>
    <x v="0"/>
    <n v="4.5999999999999996"/>
    <x v="0"/>
    <m/>
  </r>
  <r>
    <s v="FL250081"/>
    <s v="Bridget Williams"/>
    <x v="0"/>
    <n v="33"/>
    <x v="8"/>
    <x v="6"/>
    <x v="6"/>
    <n v="3"/>
    <x v="1"/>
    <x v="0"/>
    <n v="3.6"/>
    <x v="0"/>
    <n v="0.63"/>
  </r>
  <r>
    <s v="FL250082"/>
    <s v="Veronica Baker"/>
    <x v="0"/>
    <n v="25"/>
    <x v="16"/>
    <x v="13"/>
    <x v="3"/>
    <n v="5"/>
    <x v="1"/>
    <x v="2"/>
    <n v="4.4000000000000004"/>
    <x v="2"/>
    <n v="0.81"/>
  </r>
  <r>
    <s v="FL250083"/>
    <s v="Andrew Avila"/>
    <x v="1"/>
    <m/>
    <x v="18"/>
    <x v="15"/>
    <x v="8"/>
    <n v="30"/>
    <x v="0"/>
    <x v="2"/>
    <n v="4.5999999999999996"/>
    <x v="0"/>
    <n v="0.74"/>
  </r>
  <r>
    <s v="FL250084"/>
    <s v="Michael Roberson"/>
    <x v="1"/>
    <n v="35"/>
    <x v="12"/>
    <x v="10"/>
    <x v="3"/>
    <n v="2"/>
    <x v="1"/>
    <x v="4"/>
    <n v="3.2"/>
    <x v="0"/>
    <n v="0.72"/>
  </r>
  <r>
    <s v="FL250085"/>
    <s v="Austin Jenkins"/>
    <x v="1"/>
    <n v="59"/>
    <x v="12"/>
    <x v="10"/>
    <x v="4"/>
    <n v="2"/>
    <x v="1"/>
    <x v="2"/>
    <n v="0"/>
    <x v="1"/>
    <m/>
  </r>
  <r>
    <s v="FL250086"/>
    <s v="Brenda Green"/>
    <x v="0"/>
    <n v="21"/>
    <x v="18"/>
    <x v="15"/>
    <x v="8"/>
    <n v="19"/>
    <x v="4"/>
    <x v="0"/>
    <n v="2.6"/>
    <x v="1"/>
    <n v="0.85"/>
  </r>
  <r>
    <s v="FL250087"/>
    <s v="Samuel Pierce"/>
    <x v="1"/>
    <n v="25"/>
    <x v="5"/>
    <x v="1"/>
    <x v="1"/>
    <n v="16"/>
    <x v="4"/>
    <x v="4"/>
    <n v="3.7"/>
    <x v="0"/>
    <m/>
  </r>
  <r>
    <s v="FL250088"/>
    <s v="Briana Smith"/>
    <x v="0"/>
    <n v="38"/>
    <x v="19"/>
    <x v="6"/>
    <x v="3"/>
    <n v="10"/>
    <x v="3"/>
    <x v="4"/>
    <n v="2.2999999999999998"/>
    <x v="0"/>
    <n v="0.61"/>
  </r>
  <r>
    <s v="FL250089"/>
    <s v="Ronald Barrett"/>
    <x v="1"/>
    <n v="57"/>
    <x v="13"/>
    <x v="11"/>
    <x v="4"/>
    <n v="2"/>
    <x v="1"/>
    <x v="0"/>
    <n v="3.1"/>
    <x v="0"/>
    <m/>
  </r>
  <r>
    <s v="FL250090"/>
    <s v="Matthew Smith"/>
    <x v="1"/>
    <n v="32"/>
    <x v="10"/>
    <x v="8"/>
    <x v="1"/>
    <n v="18"/>
    <x v="4"/>
    <x v="6"/>
    <n v="2.4"/>
    <x v="0"/>
    <n v="0.86"/>
  </r>
  <r>
    <s v="FL250091"/>
    <s v="Logan Huang"/>
    <x v="1"/>
    <n v="21"/>
    <x v="0"/>
    <x v="0"/>
    <x v="8"/>
    <n v="21"/>
    <x v="0"/>
    <x v="0"/>
    <n v="1.6"/>
    <x v="1"/>
    <n v="0.97"/>
  </r>
  <r>
    <s v="FL250092"/>
    <s v="Miranda Hutchinson"/>
    <x v="0"/>
    <n v="57"/>
    <x v="14"/>
    <x v="1"/>
    <x v="7"/>
    <n v="3"/>
    <x v="1"/>
    <x v="1"/>
    <n v="2.4"/>
    <x v="1"/>
    <n v="0.63"/>
  </r>
  <r>
    <s v="FL250093"/>
    <s v="Paul Richardson"/>
    <x v="1"/>
    <n v="53"/>
    <x v="18"/>
    <x v="15"/>
    <x v="6"/>
    <n v="17"/>
    <x v="4"/>
    <x v="0"/>
    <m/>
    <x v="1"/>
    <n v="0.97"/>
  </r>
  <r>
    <s v="FL250094"/>
    <s v="Jose Jones"/>
    <x v="1"/>
    <n v="35"/>
    <x v="13"/>
    <x v="11"/>
    <x v="0"/>
    <n v="0"/>
    <x v="1"/>
    <x v="3"/>
    <n v="3.8"/>
    <x v="1"/>
    <n v="0.81"/>
  </r>
  <r>
    <s v="FL250095"/>
    <s v="Denise Smith"/>
    <x v="0"/>
    <n v="54"/>
    <x v="18"/>
    <x v="15"/>
    <x v="9"/>
    <n v="25"/>
    <x v="0"/>
    <x v="6"/>
    <n v="1.7"/>
    <x v="0"/>
    <n v="0.69"/>
  </r>
  <r>
    <s v="FL250096"/>
    <s v="Shelby Mcmahon"/>
    <x v="0"/>
    <n v="36"/>
    <x v="0"/>
    <x v="0"/>
    <x v="6"/>
    <n v="17"/>
    <x v="4"/>
    <x v="6"/>
    <n v="1.3"/>
    <x v="1"/>
    <n v="0.64"/>
  </r>
  <r>
    <s v="FL250097"/>
    <s v="Bethany Wright"/>
    <x v="0"/>
    <n v="49"/>
    <x v="20"/>
    <x v="6"/>
    <x v="7"/>
    <n v="5"/>
    <x v="1"/>
    <x v="1"/>
    <n v="5"/>
    <x v="0"/>
    <n v="0.77"/>
  </r>
  <r>
    <s v="FL250098"/>
    <s v="David Ortiz"/>
    <x v="1"/>
    <n v="37"/>
    <x v="5"/>
    <x v="1"/>
    <x v="0"/>
    <n v="10"/>
    <x v="3"/>
    <x v="6"/>
    <n v="3.3"/>
    <x v="0"/>
    <n v="0.96"/>
  </r>
  <r>
    <s v="FL250099"/>
    <s v="Andrew Lynch"/>
    <x v="1"/>
    <m/>
    <x v="5"/>
    <x v="1"/>
    <x v="6"/>
    <n v="0"/>
    <x v="1"/>
    <x v="6"/>
    <n v="1.1000000000000001"/>
    <x v="0"/>
    <n v="0.74"/>
  </r>
  <r>
    <s v="FL250100"/>
    <s v="Kristopher Meyers"/>
    <x v="1"/>
    <n v="32"/>
    <x v="16"/>
    <x v="13"/>
    <x v="6"/>
    <n v="2"/>
    <x v="1"/>
    <x v="1"/>
    <n v="1.2"/>
    <x v="0"/>
    <n v="0.89"/>
  </r>
  <r>
    <s v="FL250101"/>
    <s v="Thomas Roth"/>
    <x v="1"/>
    <n v="35"/>
    <x v="10"/>
    <x v="8"/>
    <x v="1"/>
    <n v="30"/>
    <x v="0"/>
    <x v="5"/>
    <n v="2"/>
    <x v="1"/>
    <n v="0.64"/>
  </r>
  <r>
    <s v="FL250102"/>
    <s v="Vicki Brown"/>
    <x v="0"/>
    <n v="51"/>
    <x v="13"/>
    <x v="11"/>
    <x v="2"/>
    <n v="2"/>
    <x v="1"/>
    <x v="3"/>
    <n v="4.5"/>
    <x v="0"/>
    <n v="0.64"/>
  </r>
  <r>
    <s v="FL250103"/>
    <s v="Stacy Sutton"/>
    <x v="0"/>
    <n v="50"/>
    <x v="13"/>
    <x v="11"/>
    <x v="8"/>
    <n v="3"/>
    <x v="1"/>
    <x v="0"/>
    <n v="3"/>
    <x v="1"/>
    <n v="0.73"/>
  </r>
  <r>
    <s v="FL250104"/>
    <s v="Kimberly Holland"/>
    <x v="0"/>
    <n v="21"/>
    <x v="6"/>
    <x v="5"/>
    <x v="0"/>
    <n v="21"/>
    <x v="0"/>
    <x v="1"/>
    <n v="4.9000000000000004"/>
    <x v="1"/>
    <n v="0.68"/>
  </r>
  <r>
    <s v="FL250105"/>
    <s v="Travis Richardson"/>
    <x v="1"/>
    <n v="25"/>
    <x v="5"/>
    <x v="1"/>
    <x v="2"/>
    <n v="3"/>
    <x v="1"/>
    <x v="3"/>
    <m/>
    <x v="0"/>
    <n v="0.88"/>
  </r>
  <r>
    <s v="FL250106"/>
    <s v="Jasmin Ho"/>
    <x v="0"/>
    <n v="57"/>
    <x v="15"/>
    <x v="12"/>
    <x v="8"/>
    <n v="19"/>
    <x v="4"/>
    <x v="2"/>
    <n v="2.5"/>
    <x v="0"/>
    <n v="0.77"/>
  </r>
  <r>
    <s v="FL250107"/>
    <s v="Mark Paul"/>
    <x v="1"/>
    <n v="58"/>
    <x v="13"/>
    <x v="11"/>
    <x v="0"/>
    <n v="0"/>
    <x v="1"/>
    <x v="5"/>
    <n v="0"/>
    <x v="1"/>
    <m/>
  </r>
  <r>
    <s v="FL250108"/>
    <s v="Jennifer Lewis"/>
    <x v="0"/>
    <n v="45"/>
    <x v="4"/>
    <x v="4"/>
    <x v="1"/>
    <n v="9"/>
    <x v="3"/>
    <x v="2"/>
    <m/>
    <x v="1"/>
    <n v="0.72"/>
  </r>
  <r>
    <s v="FL250109"/>
    <s v="Elizabeth Lester"/>
    <x v="0"/>
    <n v="23"/>
    <x v="5"/>
    <x v="1"/>
    <x v="3"/>
    <n v="5"/>
    <x v="1"/>
    <x v="6"/>
    <n v="4.7"/>
    <x v="1"/>
    <n v="0.6"/>
  </r>
  <r>
    <s v="FL250110"/>
    <s v="Kimberly Griffin"/>
    <x v="0"/>
    <n v="46"/>
    <x v="5"/>
    <x v="1"/>
    <x v="4"/>
    <n v="6"/>
    <x v="3"/>
    <x v="3"/>
    <n v="3.5"/>
    <x v="2"/>
    <n v="0.72"/>
  </r>
  <r>
    <s v="FL250111"/>
    <s v="Tyler Warner"/>
    <x v="1"/>
    <n v="27"/>
    <x v="8"/>
    <x v="6"/>
    <x v="6"/>
    <n v="6"/>
    <x v="3"/>
    <x v="3"/>
    <m/>
    <x v="0"/>
    <n v="0.92"/>
  </r>
  <r>
    <s v="FL250112"/>
    <s v="Jane Cox"/>
    <x v="0"/>
    <n v="32"/>
    <x v="5"/>
    <x v="1"/>
    <x v="9"/>
    <n v="3"/>
    <x v="1"/>
    <x v="1"/>
    <n v="3.4"/>
    <x v="1"/>
    <m/>
  </r>
  <r>
    <s v="FL250113"/>
    <s v="Leah Williams"/>
    <x v="0"/>
    <n v="48"/>
    <x v="8"/>
    <x v="6"/>
    <x v="9"/>
    <n v="13"/>
    <x v="2"/>
    <x v="4"/>
    <n v="2.5"/>
    <x v="2"/>
    <n v="0.92"/>
  </r>
  <r>
    <s v="FL250114"/>
    <s v="Kevin Wong"/>
    <x v="1"/>
    <n v="30"/>
    <x v="6"/>
    <x v="5"/>
    <x v="1"/>
    <n v="5"/>
    <x v="1"/>
    <x v="3"/>
    <n v="1.1000000000000001"/>
    <x v="1"/>
    <m/>
  </r>
  <r>
    <s v="FL250115"/>
    <s v="Robert Andrews"/>
    <x v="1"/>
    <n v="59"/>
    <x v="6"/>
    <x v="5"/>
    <x v="4"/>
    <n v="4"/>
    <x v="1"/>
    <x v="6"/>
    <n v="4.8"/>
    <x v="2"/>
    <m/>
  </r>
  <r>
    <s v="FL250116"/>
    <s v="Jessica Torres"/>
    <x v="0"/>
    <n v="32"/>
    <x v="19"/>
    <x v="6"/>
    <x v="4"/>
    <n v="7"/>
    <x v="3"/>
    <x v="3"/>
    <m/>
    <x v="0"/>
    <n v="0.86"/>
  </r>
  <r>
    <s v="FL250117"/>
    <s v="Teresa Kim"/>
    <x v="0"/>
    <n v="57"/>
    <x v="16"/>
    <x v="13"/>
    <x v="6"/>
    <n v="13"/>
    <x v="2"/>
    <x v="2"/>
    <n v="3.4"/>
    <x v="1"/>
    <n v="0.68"/>
  </r>
  <r>
    <s v="FL250118"/>
    <s v="Jon Morgan"/>
    <x v="1"/>
    <n v="27"/>
    <x v="1"/>
    <x v="1"/>
    <x v="9"/>
    <n v="4"/>
    <x v="1"/>
    <x v="6"/>
    <n v="3.2"/>
    <x v="1"/>
    <n v="0.62"/>
  </r>
  <r>
    <s v="FL250119"/>
    <s v="Gloria Chaney"/>
    <x v="0"/>
    <n v="33"/>
    <x v="4"/>
    <x v="4"/>
    <x v="9"/>
    <n v="13"/>
    <x v="2"/>
    <x v="6"/>
    <n v="3.2"/>
    <x v="0"/>
    <m/>
  </r>
  <r>
    <s v="FL250120"/>
    <s v="Jesse Campbell"/>
    <x v="1"/>
    <n v="29"/>
    <x v="12"/>
    <x v="10"/>
    <x v="5"/>
    <n v="5"/>
    <x v="1"/>
    <x v="3"/>
    <n v="0"/>
    <x v="1"/>
    <n v="0.82"/>
  </r>
  <r>
    <s v="FL250121"/>
    <s v="Allison Tucker"/>
    <x v="0"/>
    <n v="36"/>
    <x v="4"/>
    <x v="4"/>
    <x v="6"/>
    <n v="15"/>
    <x v="2"/>
    <x v="4"/>
    <m/>
    <x v="1"/>
    <m/>
  </r>
  <r>
    <s v="FL250122"/>
    <s v="Candice Petersen"/>
    <x v="0"/>
    <n v="47"/>
    <x v="0"/>
    <x v="0"/>
    <x v="8"/>
    <n v="8"/>
    <x v="3"/>
    <x v="2"/>
    <n v="3.7"/>
    <x v="0"/>
    <n v="0.93"/>
  </r>
  <r>
    <s v="FL250123"/>
    <s v="Christopher Nichols"/>
    <x v="1"/>
    <n v="48"/>
    <x v="14"/>
    <x v="1"/>
    <x v="9"/>
    <n v="10"/>
    <x v="3"/>
    <x v="1"/>
    <n v="1"/>
    <x v="1"/>
    <n v="0.64"/>
  </r>
  <r>
    <s v="FL250124"/>
    <s v="Debra Garcia"/>
    <x v="0"/>
    <n v="27"/>
    <x v="18"/>
    <x v="15"/>
    <x v="6"/>
    <n v="19"/>
    <x v="4"/>
    <x v="1"/>
    <n v="0"/>
    <x v="2"/>
    <m/>
  </r>
  <r>
    <s v="FL250125"/>
    <s v="Andrew Fuentes"/>
    <x v="1"/>
    <n v="34"/>
    <x v="1"/>
    <x v="1"/>
    <x v="3"/>
    <n v="10"/>
    <x v="3"/>
    <x v="5"/>
    <n v="1.7"/>
    <x v="0"/>
    <n v="0.96"/>
  </r>
  <r>
    <s v="FL250126"/>
    <s v="Jason Carter"/>
    <x v="1"/>
    <n v="49"/>
    <x v="12"/>
    <x v="10"/>
    <x v="5"/>
    <n v="8"/>
    <x v="3"/>
    <x v="5"/>
    <n v="5"/>
    <x v="1"/>
    <n v="0.83"/>
  </r>
  <r>
    <s v="FL250127"/>
    <s v="Austin Romero"/>
    <x v="1"/>
    <n v="30"/>
    <x v="11"/>
    <x v="9"/>
    <x v="1"/>
    <n v="9"/>
    <x v="3"/>
    <x v="0"/>
    <n v="1.7"/>
    <x v="1"/>
    <n v="0.64"/>
  </r>
  <r>
    <s v="FL250128"/>
    <s v="Clayton Burns"/>
    <x v="1"/>
    <n v="31"/>
    <x v="16"/>
    <x v="13"/>
    <x v="2"/>
    <n v="13"/>
    <x v="2"/>
    <x v="2"/>
    <n v="4.4000000000000004"/>
    <x v="0"/>
    <n v="0.7"/>
  </r>
  <r>
    <s v="FL250129"/>
    <s v="Jonathan Clark"/>
    <x v="1"/>
    <n v="58"/>
    <x v="18"/>
    <x v="15"/>
    <x v="9"/>
    <n v="14"/>
    <x v="2"/>
    <x v="6"/>
    <n v="0"/>
    <x v="0"/>
    <n v="0.65"/>
  </r>
  <r>
    <s v="FL250130"/>
    <s v="Alexander Griffin"/>
    <x v="1"/>
    <n v="47"/>
    <x v="15"/>
    <x v="12"/>
    <x v="9"/>
    <n v="0"/>
    <x v="1"/>
    <x v="2"/>
    <n v="3.4"/>
    <x v="2"/>
    <n v="0.67"/>
  </r>
  <r>
    <s v="FL250131"/>
    <s v="Shelly Whitehead"/>
    <x v="0"/>
    <n v="45"/>
    <x v="7"/>
    <x v="1"/>
    <x v="7"/>
    <n v="22"/>
    <x v="0"/>
    <x v="0"/>
    <n v="1.1000000000000001"/>
    <x v="0"/>
    <n v="0.93"/>
  </r>
  <r>
    <s v="FL250132"/>
    <s v="Kaitlyn Davis"/>
    <x v="0"/>
    <n v="57"/>
    <x v="15"/>
    <x v="12"/>
    <x v="9"/>
    <n v="4"/>
    <x v="1"/>
    <x v="1"/>
    <n v="1.6"/>
    <x v="0"/>
    <n v="0.6"/>
  </r>
  <r>
    <s v="FL250133"/>
    <s v="Christopher Jones"/>
    <x v="1"/>
    <n v="50"/>
    <x v="10"/>
    <x v="8"/>
    <x v="3"/>
    <n v="22"/>
    <x v="0"/>
    <x v="0"/>
    <n v="4.0999999999999996"/>
    <x v="0"/>
    <n v="0.62"/>
  </r>
  <r>
    <s v="FL250134"/>
    <s v="Cindy Jacobs"/>
    <x v="0"/>
    <m/>
    <x v="11"/>
    <x v="9"/>
    <x v="9"/>
    <n v="39"/>
    <x v="0"/>
    <x v="5"/>
    <n v="2.5"/>
    <x v="2"/>
    <n v="0.7"/>
  </r>
  <r>
    <s v="FL250135"/>
    <s v="Penny Day"/>
    <x v="0"/>
    <n v="45"/>
    <x v="4"/>
    <x v="4"/>
    <x v="0"/>
    <n v="5"/>
    <x v="1"/>
    <x v="0"/>
    <n v="4"/>
    <x v="1"/>
    <n v="0.75"/>
  </r>
  <r>
    <s v="FL250136"/>
    <s v="Thomas Ingram"/>
    <x v="1"/>
    <n v="60"/>
    <x v="17"/>
    <x v="14"/>
    <x v="7"/>
    <n v="5"/>
    <x v="1"/>
    <x v="4"/>
    <n v="1.4"/>
    <x v="0"/>
    <n v="0.7"/>
  </r>
  <r>
    <s v="FL250137"/>
    <s v="Donna Hansen"/>
    <x v="0"/>
    <n v="43"/>
    <x v="7"/>
    <x v="1"/>
    <x v="7"/>
    <n v="5"/>
    <x v="1"/>
    <x v="1"/>
    <m/>
    <x v="1"/>
    <n v="0.84"/>
  </r>
  <r>
    <s v="FL250138"/>
    <s v="Donna Bailey"/>
    <x v="0"/>
    <n v="39"/>
    <x v="15"/>
    <x v="12"/>
    <x v="7"/>
    <n v="11"/>
    <x v="2"/>
    <x v="2"/>
    <n v="1.2"/>
    <x v="0"/>
    <n v="0.83"/>
  </r>
  <r>
    <s v="FL250139"/>
    <s v="Joshua Armstrong"/>
    <x v="1"/>
    <n v="26"/>
    <x v="19"/>
    <x v="6"/>
    <x v="6"/>
    <n v="15"/>
    <x v="2"/>
    <x v="1"/>
    <n v="0"/>
    <x v="0"/>
    <m/>
  </r>
  <r>
    <s v="FL250140"/>
    <s v="Jonathan Garza"/>
    <x v="1"/>
    <n v="31"/>
    <x v="2"/>
    <x v="2"/>
    <x v="7"/>
    <n v="5"/>
    <x v="1"/>
    <x v="1"/>
    <n v="3.1"/>
    <x v="0"/>
    <n v="0.88"/>
  </r>
  <r>
    <s v="FL250141"/>
    <s v="Charles Jones"/>
    <x v="1"/>
    <n v="52"/>
    <x v="15"/>
    <x v="12"/>
    <x v="6"/>
    <n v="7"/>
    <x v="3"/>
    <x v="1"/>
    <n v="0"/>
    <x v="1"/>
    <n v="0.81"/>
  </r>
  <r>
    <s v="FL250142"/>
    <s v="Lindsey Miles"/>
    <x v="0"/>
    <n v="34"/>
    <x v="10"/>
    <x v="8"/>
    <x v="5"/>
    <n v="9"/>
    <x v="3"/>
    <x v="6"/>
    <n v="2.2000000000000002"/>
    <x v="1"/>
    <n v="0.8"/>
  </r>
  <r>
    <s v="FL250143"/>
    <s v="Eduardo Reed"/>
    <x v="1"/>
    <n v="45"/>
    <x v="7"/>
    <x v="1"/>
    <x v="3"/>
    <n v="21"/>
    <x v="0"/>
    <x v="4"/>
    <n v="3"/>
    <x v="1"/>
    <n v="0.67"/>
  </r>
  <r>
    <s v="FL250144"/>
    <s v="Lee Fowler"/>
    <x v="1"/>
    <n v="46"/>
    <x v="7"/>
    <x v="1"/>
    <x v="7"/>
    <n v="7"/>
    <x v="3"/>
    <x v="6"/>
    <n v="0"/>
    <x v="0"/>
    <n v="0.82"/>
  </r>
  <r>
    <s v="FL250145"/>
    <s v="Steven Jones Jr."/>
    <x v="1"/>
    <n v="56"/>
    <x v="15"/>
    <x v="12"/>
    <x v="6"/>
    <n v="4"/>
    <x v="1"/>
    <x v="0"/>
    <n v="0"/>
    <x v="1"/>
    <n v="0.78"/>
  </r>
  <r>
    <s v="FL250146"/>
    <s v="Ashley Chen"/>
    <x v="0"/>
    <n v="59"/>
    <x v="2"/>
    <x v="2"/>
    <x v="4"/>
    <n v="7"/>
    <x v="3"/>
    <x v="2"/>
    <n v="1.4"/>
    <x v="0"/>
    <n v="0.81"/>
  </r>
  <r>
    <s v="FL250147"/>
    <s v="Erica Davis"/>
    <x v="0"/>
    <n v="54"/>
    <x v="16"/>
    <x v="13"/>
    <x v="0"/>
    <n v="0"/>
    <x v="1"/>
    <x v="5"/>
    <n v="1.4"/>
    <x v="1"/>
    <n v="0.74"/>
  </r>
  <r>
    <s v="FL250148"/>
    <s v="Wayne Gonzales"/>
    <x v="1"/>
    <n v="36"/>
    <x v="2"/>
    <x v="2"/>
    <x v="6"/>
    <n v="15"/>
    <x v="2"/>
    <x v="3"/>
    <n v="0"/>
    <x v="0"/>
    <n v="0.88"/>
  </r>
  <r>
    <s v="FL250149"/>
    <s v="Gary Ballard"/>
    <x v="1"/>
    <n v="25"/>
    <x v="19"/>
    <x v="6"/>
    <x v="5"/>
    <n v="10"/>
    <x v="3"/>
    <x v="2"/>
    <n v="0"/>
    <x v="0"/>
    <n v="0.9"/>
  </r>
  <r>
    <s v="FL250150"/>
    <s v="Maria Mcguire"/>
    <x v="0"/>
    <n v="37"/>
    <x v="13"/>
    <x v="11"/>
    <x v="5"/>
    <n v="11"/>
    <x v="2"/>
    <x v="2"/>
    <n v="2.9"/>
    <x v="0"/>
    <m/>
  </r>
  <r>
    <s v="FL250151"/>
    <s v="Matthew Richards"/>
    <x v="1"/>
    <m/>
    <x v="6"/>
    <x v="5"/>
    <x v="5"/>
    <n v="12"/>
    <x v="2"/>
    <x v="2"/>
    <n v="0"/>
    <x v="2"/>
    <m/>
  </r>
  <r>
    <s v="FL250152"/>
    <s v="Patrick Malone"/>
    <x v="1"/>
    <n v="29"/>
    <x v="20"/>
    <x v="6"/>
    <x v="5"/>
    <n v="20"/>
    <x v="4"/>
    <x v="6"/>
    <n v="2.7"/>
    <x v="0"/>
    <n v="0.93"/>
  </r>
  <r>
    <s v="FL250153"/>
    <s v="Cindy Martin"/>
    <x v="0"/>
    <n v="55"/>
    <x v="8"/>
    <x v="6"/>
    <x v="1"/>
    <n v="29"/>
    <x v="0"/>
    <x v="0"/>
    <n v="1.8"/>
    <x v="1"/>
    <m/>
  </r>
  <r>
    <s v="FL250154"/>
    <s v="Anne Edwards"/>
    <x v="0"/>
    <n v="38"/>
    <x v="9"/>
    <x v="7"/>
    <x v="8"/>
    <n v="15"/>
    <x v="2"/>
    <x v="4"/>
    <n v="1.1000000000000001"/>
    <x v="0"/>
    <n v="0.71"/>
  </r>
  <r>
    <s v="FL250155"/>
    <s v="Mitchell Martin"/>
    <x v="1"/>
    <n v="47"/>
    <x v="12"/>
    <x v="10"/>
    <x v="8"/>
    <n v="9"/>
    <x v="3"/>
    <x v="2"/>
    <n v="4.3"/>
    <x v="1"/>
    <n v="0.95"/>
  </r>
  <r>
    <s v="FL250156"/>
    <s v="Mitchell Patrick"/>
    <x v="1"/>
    <n v="60"/>
    <x v="11"/>
    <x v="9"/>
    <x v="3"/>
    <m/>
    <x v="1"/>
    <x v="0"/>
    <n v="1.5"/>
    <x v="0"/>
    <n v="0.8"/>
  </r>
  <r>
    <s v="FL250157"/>
    <s v="Rebecca Lyons"/>
    <x v="0"/>
    <n v="43"/>
    <x v="0"/>
    <x v="0"/>
    <x v="5"/>
    <n v="2"/>
    <x v="1"/>
    <x v="6"/>
    <n v="2.2000000000000002"/>
    <x v="0"/>
    <m/>
  </r>
  <r>
    <s v="FL250158"/>
    <s v="Christian Lopez"/>
    <x v="1"/>
    <n v="56"/>
    <x v="17"/>
    <x v="14"/>
    <x v="5"/>
    <n v="0"/>
    <x v="1"/>
    <x v="0"/>
    <n v="3.2"/>
    <x v="0"/>
    <n v="0.62"/>
  </r>
  <r>
    <s v="FL250159"/>
    <s v="Nathan Blair"/>
    <x v="1"/>
    <n v="42"/>
    <x v="13"/>
    <x v="11"/>
    <x v="8"/>
    <n v="12"/>
    <x v="2"/>
    <x v="1"/>
    <n v="1.9"/>
    <x v="0"/>
    <n v="0.95"/>
  </r>
  <r>
    <s v="FL250160"/>
    <s v="Patricia Lopez"/>
    <x v="0"/>
    <n v="20"/>
    <x v="20"/>
    <x v="6"/>
    <x v="2"/>
    <n v="12"/>
    <x v="2"/>
    <x v="2"/>
    <n v="2.5"/>
    <x v="0"/>
    <n v="0.79"/>
  </r>
  <r>
    <s v="FL250161"/>
    <s v="Michelle Wu"/>
    <x v="0"/>
    <n v="47"/>
    <x v="4"/>
    <x v="4"/>
    <x v="6"/>
    <n v="15"/>
    <x v="2"/>
    <x v="2"/>
    <n v="4.5"/>
    <x v="0"/>
    <n v="0.62"/>
  </r>
  <r>
    <s v="FL250162"/>
    <s v="Donald Mitchell"/>
    <x v="1"/>
    <m/>
    <x v="8"/>
    <x v="6"/>
    <x v="5"/>
    <n v="29"/>
    <x v="0"/>
    <x v="3"/>
    <n v="4.0999999999999996"/>
    <x v="0"/>
    <n v="0.68"/>
  </r>
  <r>
    <s v="FL250163"/>
    <s v="Sean Gordon"/>
    <x v="1"/>
    <n v="56"/>
    <x v="4"/>
    <x v="4"/>
    <x v="8"/>
    <n v="15"/>
    <x v="2"/>
    <x v="4"/>
    <n v="0"/>
    <x v="0"/>
    <m/>
  </r>
  <r>
    <s v="FL250164"/>
    <s v="Gregory Clarke"/>
    <x v="1"/>
    <n v="59"/>
    <x v="7"/>
    <x v="1"/>
    <x v="8"/>
    <m/>
    <x v="1"/>
    <x v="4"/>
    <m/>
    <x v="0"/>
    <n v="0.8"/>
  </r>
  <r>
    <s v="FL250165"/>
    <s v="Steven Whitney"/>
    <x v="1"/>
    <n v="56"/>
    <x v="9"/>
    <x v="7"/>
    <x v="7"/>
    <n v="33"/>
    <x v="0"/>
    <x v="2"/>
    <n v="3.7"/>
    <x v="2"/>
    <n v="0.92"/>
  </r>
  <r>
    <s v="FL250166"/>
    <s v="Robin Acosta"/>
    <x v="0"/>
    <n v="31"/>
    <x v="17"/>
    <x v="14"/>
    <x v="3"/>
    <n v="10"/>
    <x v="3"/>
    <x v="4"/>
    <n v="1.3"/>
    <x v="1"/>
    <n v="0.65"/>
  </r>
  <r>
    <s v="FL250167"/>
    <s v="John Smith"/>
    <x v="1"/>
    <n v="60"/>
    <x v="12"/>
    <x v="10"/>
    <x v="1"/>
    <n v="20"/>
    <x v="4"/>
    <x v="2"/>
    <n v="3.6"/>
    <x v="1"/>
    <n v="0.87"/>
  </r>
  <r>
    <s v="FL250168"/>
    <s v="Susan Baker"/>
    <x v="0"/>
    <n v="31"/>
    <x v="14"/>
    <x v="1"/>
    <x v="3"/>
    <n v="23"/>
    <x v="0"/>
    <x v="4"/>
    <n v="0"/>
    <x v="0"/>
    <n v="0.7"/>
  </r>
  <r>
    <s v="FL250169"/>
    <s v="Anthony Larsen"/>
    <x v="1"/>
    <n v="60"/>
    <x v="8"/>
    <x v="6"/>
    <x v="7"/>
    <m/>
    <x v="1"/>
    <x v="2"/>
    <n v="1.4"/>
    <x v="0"/>
    <n v="0.87"/>
  </r>
  <r>
    <s v="FL250170"/>
    <s v="Nicholas Carpenter"/>
    <x v="1"/>
    <n v="46"/>
    <x v="15"/>
    <x v="12"/>
    <x v="8"/>
    <n v="0"/>
    <x v="1"/>
    <x v="6"/>
    <n v="2.9"/>
    <x v="0"/>
    <n v="0.72"/>
  </r>
  <r>
    <s v="FL250171"/>
    <s v="Debra Salazar"/>
    <x v="0"/>
    <m/>
    <x v="3"/>
    <x v="3"/>
    <x v="0"/>
    <n v="7"/>
    <x v="3"/>
    <x v="2"/>
    <n v="2.8"/>
    <x v="0"/>
    <n v="0.8"/>
  </r>
  <r>
    <s v="FL250172"/>
    <s v="William Smith"/>
    <x v="1"/>
    <n v="34"/>
    <x v="9"/>
    <x v="7"/>
    <x v="6"/>
    <n v="4"/>
    <x v="1"/>
    <x v="6"/>
    <n v="1.7"/>
    <x v="0"/>
    <n v="0.66"/>
  </r>
  <r>
    <s v="FL250173"/>
    <s v="Caroline Gross"/>
    <x v="0"/>
    <n v="42"/>
    <x v="3"/>
    <x v="3"/>
    <x v="2"/>
    <n v="9"/>
    <x v="3"/>
    <x v="2"/>
    <n v="0"/>
    <x v="1"/>
    <m/>
  </r>
  <r>
    <s v="FL250174"/>
    <s v="Jeremy Sawyer"/>
    <x v="1"/>
    <n v="31"/>
    <x v="7"/>
    <x v="1"/>
    <x v="5"/>
    <n v="17"/>
    <x v="4"/>
    <x v="4"/>
    <n v="1.1000000000000001"/>
    <x v="1"/>
    <n v="0.64"/>
  </r>
  <r>
    <s v="FL250175"/>
    <s v="Eduardo Burns"/>
    <x v="1"/>
    <n v="29"/>
    <x v="11"/>
    <x v="9"/>
    <x v="6"/>
    <n v="8"/>
    <x v="3"/>
    <x v="6"/>
    <m/>
    <x v="2"/>
    <n v="0.68"/>
  </r>
  <r>
    <s v="FL250176"/>
    <s v="Amanda Jones"/>
    <x v="0"/>
    <n v="57"/>
    <x v="1"/>
    <x v="1"/>
    <x v="2"/>
    <n v="14"/>
    <x v="2"/>
    <x v="6"/>
    <n v="3.6"/>
    <x v="0"/>
    <n v="0.63"/>
  </r>
  <r>
    <s v="FL250177"/>
    <s v="Frederick Ware"/>
    <x v="1"/>
    <n v="47"/>
    <x v="10"/>
    <x v="8"/>
    <x v="8"/>
    <n v="21"/>
    <x v="0"/>
    <x v="6"/>
    <n v="4.5"/>
    <x v="1"/>
    <n v="0.72"/>
  </r>
  <r>
    <s v="FL250178"/>
    <s v="Michael Black"/>
    <x v="1"/>
    <n v="47"/>
    <x v="17"/>
    <x v="14"/>
    <x v="4"/>
    <n v="1"/>
    <x v="1"/>
    <x v="3"/>
    <n v="0"/>
    <x v="1"/>
    <n v="0.86"/>
  </r>
  <r>
    <s v="FL250179"/>
    <s v="Patricia Sanders"/>
    <x v="0"/>
    <n v="45"/>
    <x v="15"/>
    <x v="12"/>
    <x v="2"/>
    <n v="12"/>
    <x v="2"/>
    <x v="3"/>
    <n v="1.5"/>
    <x v="1"/>
    <n v="0.73"/>
  </r>
  <r>
    <s v="FL250180"/>
    <s v="Marc Joseph"/>
    <x v="1"/>
    <n v="24"/>
    <x v="6"/>
    <x v="5"/>
    <x v="9"/>
    <n v="2"/>
    <x v="1"/>
    <x v="3"/>
    <n v="3.7"/>
    <x v="0"/>
    <n v="0.95"/>
  </r>
  <r>
    <s v="FL250181"/>
    <s v="Vanessa White"/>
    <x v="0"/>
    <n v="31"/>
    <x v="8"/>
    <x v="6"/>
    <x v="1"/>
    <n v="3"/>
    <x v="1"/>
    <x v="6"/>
    <n v="2.2999999999999998"/>
    <x v="0"/>
    <n v="0.9"/>
  </r>
  <r>
    <s v="FL250182"/>
    <s v="Jennifer Garcia"/>
    <x v="0"/>
    <n v="20"/>
    <x v="19"/>
    <x v="6"/>
    <x v="2"/>
    <n v="11"/>
    <x v="2"/>
    <x v="6"/>
    <n v="2.8"/>
    <x v="0"/>
    <n v="0.78"/>
  </r>
  <r>
    <s v="FL250183"/>
    <s v="Michael Zavala"/>
    <x v="1"/>
    <n v="38"/>
    <x v="9"/>
    <x v="7"/>
    <x v="3"/>
    <n v="4"/>
    <x v="1"/>
    <x v="3"/>
    <n v="3.5"/>
    <x v="0"/>
    <n v="0.97"/>
  </r>
  <r>
    <s v="FL250184"/>
    <s v="Kimberly Williams"/>
    <x v="0"/>
    <n v="33"/>
    <x v="2"/>
    <x v="2"/>
    <x v="6"/>
    <n v="21"/>
    <x v="0"/>
    <x v="5"/>
    <n v="0"/>
    <x v="1"/>
    <n v="0.65"/>
  </r>
  <r>
    <s v="FL250185"/>
    <s v="Elizabeth Jenkins"/>
    <x v="0"/>
    <n v="31"/>
    <x v="1"/>
    <x v="1"/>
    <x v="3"/>
    <n v="0"/>
    <x v="1"/>
    <x v="2"/>
    <n v="3.2"/>
    <x v="1"/>
    <n v="0.78"/>
  </r>
  <r>
    <s v="FL250186"/>
    <s v="Brandon Ford"/>
    <x v="1"/>
    <n v="41"/>
    <x v="20"/>
    <x v="6"/>
    <x v="9"/>
    <n v="6"/>
    <x v="3"/>
    <x v="1"/>
    <n v="3.3"/>
    <x v="1"/>
    <n v="0.65"/>
  </r>
  <r>
    <s v="FL250187"/>
    <s v="Justin House"/>
    <x v="1"/>
    <n v="54"/>
    <x v="6"/>
    <x v="5"/>
    <x v="3"/>
    <n v="18"/>
    <x v="4"/>
    <x v="6"/>
    <n v="4.9000000000000004"/>
    <x v="2"/>
    <m/>
  </r>
  <r>
    <s v="FL250188"/>
    <s v="Henry Mullen"/>
    <x v="1"/>
    <n v="50"/>
    <x v="19"/>
    <x v="6"/>
    <x v="5"/>
    <m/>
    <x v="1"/>
    <x v="3"/>
    <n v="2.2000000000000002"/>
    <x v="1"/>
    <n v="0.95"/>
  </r>
  <r>
    <s v="FL250189"/>
    <s v="Jesse Cochran"/>
    <x v="1"/>
    <n v="48"/>
    <x v="11"/>
    <x v="9"/>
    <x v="9"/>
    <n v="1"/>
    <x v="1"/>
    <x v="2"/>
    <m/>
    <x v="1"/>
    <n v="0.88"/>
  </r>
  <r>
    <s v="FL250190"/>
    <s v="Melissa Rich"/>
    <x v="0"/>
    <n v="49"/>
    <x v="19"/>
    <x v="6"/>
    <x v="2"/>
    <n v="20"/>
    <x v="4"/>
    <x v="5"/>
    <n v="1.8"/>
    <x v="0"/>
    <m/>
  </r>
  <r>
    <s v="FL250191"/>
    <s v="Patrick Dunlap"/>
    <x v="1"/>
    <n v="21"/>
    <x v="12"/>
    <x v="10"/>
    <x v="2"/>
    <m/>
    <x v="1"/>
    <x v="4"/>
    <n v="4.5999999999999996"/>
    <x v="0"/>
    <n v="0.92"/>
  </r>
  <r>
    <s v="FL250192"/>
    <s v="Troy Carson"/>
    <x v="1"/>
    <n v="58"/>
    <x v="1"/>
    <x v="1"/>
    <x v="2"/>
    <n v="25"/>
    <x v="0"/>
    <x v="4"/>
    <n v="2.8"/>
    <x v="0"/>
    <n v="0.75"/>
  </r>
  <r>
    <s v="FL250193"/>
    <s v="Matthew Smith"/>
    <x v="1"/>
    <n v="41"/>
    <x v="0"/>
    <x v="0"/>
    <x v="8"/>
    <n v="20"/>
    <x v="4"/>
    <x v="3"/>
    <n v="1.4"/>
    <x v="0"/>
    <n v="0.74"/>
  </r>
  <r>
    <s v="FL250194"/>
    <s v="Jennifer Cherry"/>
    <x v="0"/>
    <n v="58"/>
    <x v="13"/>
    <x v="11"/>
    <x v="0"/>
    <n v="33"/>
    <x v="0"/>
    <x v="3"/>
    <n v="4.2"/>
    <x v="1"/>
    <n v="0.71"/>
  </r>
  <r>
    <s v="FL250195"/>
    <s v="Brandi Tucker"/>
    <x v="0"/>
    <n v="50"/>
    <x v="17"/>
    <x v="14"/>
    <x v="2"/>
    <n v="6"/>
    <x v="3"/>
    <x v="2"/>
    <n v="3.6"/>
    <x v="1"/>
    <n v="0.89"/>
  </r>
  <r>
    <s v="FL250196"/>
    <s v="Zachary Burke"/>
    <x v="1"/>
    <n v="52"/>
    <x v="4"/>
    <x v="4"/>
    <x v="3"/>
    <n v="11"/>
    <x v="2"/>
    <x v="0"/>
    <n v="1.6"/>
    <x v="2"/>
    <n v="0.66"/>
  </r>
  <r>
    <s v="FL250197"/>
    <s v="Thomas Jones"/>
    <x v="1"/>
    <n v="34"/>
    <x v="3"/>
    <x v="3"/>
    <x v="5"/>
    <n v="28"/>
    <x v="0"/>
    <x v="0"/>
    <n v="2"/>
    <x v="0"/>
    <m/>
  </r>
  <r>
    <s v="FL250198"/>
    <s v="Brian Dunn"/>
    <x v="1"/>
    <n v="32"/>
    <x v="15"/>
    <x v="12"/>
    <x v="9"/>
    <n v="11"/>
    <x v="2"/>
    <x v="2"/>
    <n v="4.3"/>
    <x v="1"/>
    <n v="0.86"/>
  </r>
  <r>
    <s v="FL250199"/>
    <s v="Shirley Strickland"/>
    <x v="0"/>
    <n v="50"/>
    <x v="10"/>
    <x v="8"/>
    <x v="2"/>
    <n v="2"/>
    <x v="1"/>
    <x v="0"/>
    <n v="4.9000000000000004"/>
    <x v="1"/>
    <n v="0.86"/>
  </r>
  <r>
    <s v="FL250200"/>
    <s v="Nicole Meyers"/>
    <x v="0"/>
    <n v="39"/>
    <x v="8"/>
    <x v="6"/>
    <x v="5"/>
    <n v="7"/>
    <x v="3"/>
    <x v="0"/>
    <n v="3.5"/>
    <x v="1"/>
    <n v="0.82"/>
  </r>
  <r>
    <s v="FL250201"/>
    <s v="Jill Stephens"/>
    <x v="0"/>
    <n v="25"/>
    <x v="20"/>
    <x v="6"/>
    <x v="4"/>
    <n v="10"/>
    <x v="3"/>
    <x v="0"/>
    <n v="2.5"/>
    <x v="0"/>
    <n v="0.87"/>
  </r>
  <r>
    <s v="FL250202"/>
    <s v="Heidi Miranda"/>
    <x v="0"/>
    <n v="55"/>
    <x v="18"/>
    <x v="15"/>
    <x v="9"/>
    <n v="6"/>
    <x v="3"/>
    <x v="0"/>
    <n v="1.7"/>
    <x v="1"/>
    <n v="0.8"/>
  </r>
  <r>
    <s v="FL250203"/>
    <s v="Jesus Martinez"/>
    <x v="1"/>
    <n v="42"/>
    <x v="0"/>
    <x v="0"/>
    <x v="8"/>
    <n v="29"/>
    <x v="0"/>
    <x v="0"/>
    <n v="4.5999999999999996"/>
    <x v="1"/>
    <n v="0.71"/>
  </r>
  <r>
    <s v="FL250204"/>
    <s v="Adam Payne"/>
    <x v="1"/>
    <n v="43"/>
    <x v="13"/>
    <x v="11"/>
    <x v="1"/>
    <n v="0"/>
    <x v="1"/>
    <x v="1"/>
    <m/>
    <x v="0"/>
    <n v="0.77"/>
  </r>
  <r>
    <s v="FL250205"/>
    <s v="Walter Williams"/>
    <x v="1"/>
    <n v="54"/>
    <x v="0"/>
    <x v="0"/>
    <x v="8"/>
    <n v="5"/>
    <x v="1"/>
    <x v="3"/>
    <n v="1.7"/>
    <x v="0"/>
    <n v="0.68"/>
  </r>
  <r>
    <s v="FL250206"/>
    <s v="Shannon Farmer"/>
    <x v="0"/>
    <n v="21"/>
    <x v="16"/>
    <x v="13"/>
    <x v="2"/>
    <n v="11"/>
    <x v="2"/>
    <x v="6"/>
    <n v="1.8"/>
    <x v="0"/>
    <n v="0.91"/>
  </r>
  <r>
    <s v="FL250207"/>
    <s v="Peter Reyes"/>
    <x v="1"/>
    <n v="46"/>
    <x v="14"/>
    <x v="1"/>
    <x v="6"/>
    <n v="11"/>
    <x v="2"/>
    <x v="6"/>
    <n v="2.2000000000000002"/>
    <x v="0"/>
    <n v="0.75"/>
  </r>
  <r>
    <s v="FL250208"/>
    <s v="Kristen Knight"/>
    <x v="0"/>
    <n v="30"/>
    <x v="20"/>
    <x v="6"/>
    <x v="0"/>
    <n v="15"/>
    <x v="2"/>
    <x v="2"/>
    <n v="1"/>
    <x v="0"/>
    <n v="0.9"/>
  </r>
  <r>
    <s v="FL250209"/>
    <s v="William Moore Jr."/>
    <x v="1"/>
    <n v="36"/>
    <x v="18"/>
    <x v="15"/>
    <x v="9"/>
    <n v="1"/>
    <x v="1"/>
    <x v="4"/>
    <n v="3.2"/>
    <x v="0"/>
    <n v="0.93"/>
  </r>
  <r>
    <s v="FL250210"/>
    <s v="Jennifer Rowe"/>
    <x v="0"/>
    <n v="47"/>
    <x v="2"/>
    <x v="2"/>
    <x v="5"/>
    <n v="8"/>
    <x v="3"/>
    <x v="2"/>
    <n v="2.1"/>
    <x v="1"/>
    <n v="0.94"/>
  </r>
  <r>
    <s v="FL250211"/>
    <s v="Mikayla Henry"/>
    <x v="0"/>
    <n v="43"/>
    <x v="14"/>
    <x v="1"/>
    <x v="1"/>
    <n v="30"/>
    <x v="0"/>
    <x v="1"/>
    <n v="4.5999999999999996"/>
    <x v="1"/>
    <n v="0.64"/>
  </r>
  <r>
    <s v="FL250212"/>
    <s v="Jacob Kerr"/>
    <x v="1"/>
    <n v="57"/>
    <x v="12"/>
    <x v="10"/>
    <x v="7"/>
    <n v="8"/>
    <x v="3"/>
    <x v="6"/>
    <n v="0"/>
    <x v="1"/>
    <n v="0.84"/>
  </r>
  <r>
    <s v="FL250213"/>
    <s v="Ryan Johnson"/>
    <x v="1"/>
    <n v="52"/>
    <x v="0"/>
    <x v="0"/>
    <x v="9"/>
    <n v="0"/>
    <x v="1"/>
    <x v="6"/>
    <n v="2.8"/>
    <x v="0"/>
    <n v="0.87"/>
  </r>
  <r>
    <s v="FL250214"/>
    <s v="Michael Ruiz"/>
    <x v="1"/>
    <m/>
    <x v="2"/>
    <x v="2"/>
    <x v="0"/>
    <n v="12"/>
    <x v="2"/>
    <x v="2"/>
    <n v="0"/>
    <x v="0"/>
    <n v="0.64"/>
  </r>
  <r>
    <s v="FL250215"/>
    <s v="Monica Roberts"/>
    <x v="0"/>
    <n v="22"/>
    <x v="4"/>
    <x v="4"/>
    <x v="9"/>
    <n v="4"/>
    <x v="1"/>
    <x v="0"/>
    <n v="2.7"/>
    <x v="1"/>
    <n v="0.64"/>
  </r>
  <r>
    <s v="FL250216"/>
    <s v="Danny Brown"/>
    <x v="1"/>
    <m/>
    <x v="10"/>
    <x v="8"/>
    <x v="9"/>
    <n v="14"/>
    <x v="2"/>
    <x v="6"/>
    <n v="0"/>
    <x v="1"/>
    <n v="0.8"/>
  </r>
  <r>
    <s v="FL250217"/>
    <s v="Karen Larsen"/>
    <x v="0"/>
    <n v="58"/>
    <x v="20"/>
    <x v="6"/>
    <x v="1"/>
    <n v="14"/>
    <x v="2"/>
    <x v="1"/>
    <n v="3.1"/>
    <x v="0"/>
    <n v="0.9"/>
  </r>
  <r>
    <s v="FL250218"/>
    <s v="Robert Evans"/>
    <x v="1"/>
    <n v="39"/>
    <x v="12"/>
    <x v="10"/>
    <x v="3"/>
    <n v="2"/>
    <x v="1"/>
    <x v="0"/>
    <n v="0"/>
    <x v="1"/>
    <n v="0.92"/>
  </r>
  <r>
    <s v="FL250219"/>
    <s v="Sean Poole"/>
    <x v="1"/>
    <n v="32"/>
    <x v="4"/>
    <x v="4"/>
    <x v="2"/>
    <n v="2"/>
    <x v="1"/>
    <x v="5"/>
    <m/>
    <x v="0"/>
    <n v="0.96"/>
  </r>
  <r>
    <s v="FL250220"/>
    <s v="Richard Quinn"/>
    <x v="1"/>
    <n v="37"/>
    <x v="14"/>
    <x v="1"/>
    <x v="6"/>
    <n v="4"/>
    <x v="1"/>
    <x v="3"/>
    <n v="2.2999999999999998"/>
    <x v="1"/>
    <m/>
  </r>
  <r>
    <s v="FL250221"/>
    <s v="Jennifer Gonzalez"/>
    <x v="0"/>
    <n v="21"/>
    <x v="18"/>
    <x v="15"/>
    <x v="7"/>
    <n v="0"/>
    <x v="1"/>
    <x v="0"/>
    <n v="2.4"/>
    <x v="1"/>
    <m/>
  </r>
  <r>
    <s v="FL250222"/>
    <s v="James Skinner"/>
    <x v="1"/>
    <n v="41"/>
    <x v="12"/>
    <x v="10"/>
    <x v="9"/>
    <n v="9"/>
    <x v="3"/>
    <x v="4"/>
    <n v="2.6"/>
    <x v="2"/>
    <n v="0.85"/>
  </r>
  <r>
    <s v="FL250223"/>
    <s v="Michelle Hill"/>
    <x v="0"/>
    <n v="21"/>
    <x v="14"/>
    <x v="1"/>
    <x v="4"/>
    <n v="3"/>
    <x v="1"/>
    <x v="2"/>
    <n v="1.1000000000000001"/>
    <x v="0"/>
    <n v="0.79"/>
  </r>
  <r>
    <s v="FL250224"/>
    <s v="Jacqueline Williams"/>
    <x v="0"/>
    <n v="58"/>
    <x v="18"/>
    <x v="15"/>
    <x v="9"/>
    <n v="2"/>
    <x v="1"/>
    <x v="3"/>
    <n v="0"/>
    <x v="1"/>
    <n v="0.65"/>
  </r>
  <r>
    <s v="FL250225"/>
    <s v="Darrell Johnson"/>
    <x v="1"/>
    <n v="60"/>
    <x v="14"/>
    <x v="1"/>
    <x v="9"/>
    <n v="10"/>
    <x v="3"/>
    <x v="2"/>
    <n v="4.7"/>
    <x v="0"/>
    <n v="0.63"/>
  </r>
  <r>
    <s v="FL250226"/>
    <s v="Ryan Crawford"/>
    <x v="1"/>
    <n v="27"/>
    <x v="17"/>
    <x v="14"/>
    <x v="3"/>
    <n v="33"/>
    <x v="0"/>
    <x v="2"/>
    <n v="1.2"/>
    <x v="0"/>
    <m/>
  </r>
  <r>
    <s v="FL250227"/>
    <s v="Chelsea Barber"/>
    <x v="0"/>
    <n v="29"/>
    <x v="2"/>
    <x v="2"/>
    <x v="9"/>
    <n v="12"/>
    <x v="2"/>
    <x v="2"/>
    <n v="1.2"/>
    <x v="0"/>
    <n v="0.78"/>
  </r>
  <r>
    <s v="FL250228"/>
    <s v="Elaine Martinez"/>
    <x v="0"/>
    <n v="54"/>
    <x v="14"/>
    <x v="1"/>
    <x v="2"/>
    <n v="18"/>
    <x v="4"/>
    <x v="4"/>
    <n v="0"/>
    <x v="1"/>
    <n v="0.62"/>
  </r>
  <r>
    <s v="FL250229"/>
    <s v="Joseph Kent"/>
    <x v="1"/>
    <n v="52"/>
    <x v="19"/>
    <x v="6"/>
    <x v="9"/>
    <n v="4"/>
    <x v="1"/>
    <x v="2"/>
    <n v="1.2"/>
    <x v="0"/>
    <n v="0.76"/>
  </r>
  <r>
    <s v="FL250230"/>
    <s v="Megan Welch"/>
    <x v="0"/>
    <n v="55"/>
    <x v="4"/>
    <x v="4"/>
    <x v="0"/>
    <n v="11"/>
    <x v="2"/>
    <x v="0"/>
    <n v="2.9"/>
    <x v="0"/>
    <n v="0.97"/>
  </r>
  <r>
    <s v="FL250231"/>
    <s v="Stephen Ramirez"/>
    <x v="1"/>
    <n v="37"/>
    <x v="11"/>
    <x v="9"/>
    <x v="0"/>
    <n v="1"/>
    <x v="1"/>
    <x v="5"/>
    <m/>
    <x v="0"/>
    <m/>
  </r>
  <r>
    <s v="FL250232"/>
    <s v="Chloe Gray"/>
    <x v="0"/>
    <n v="34"/>
    <x v="16"/>
    <x v="13"/>
    <x v="5"/>
    <n v="2"/>
    <x v="1"/>
    <x v="1"/>
    <n v="3.9"/>
    <x v="1"/>
    <n v="0.82"/>
  </r>
  <r>
    <s v="FL250233"/>
    <s v="Michael Williams Jr."/>
    <x v="1"/>
    <n v="20"/>
    <x v="15"/>
    <x v="12"/>
    <x v="5"/>
    <n v="2"/>
    <x v="1"/>
    <x v="1"/>
    <n v="3.1"/>
    <x v="2"/>
    <n v="0.71"/>
  </r>
  <r>
    <s v="FL250234"/>
    <s v="Matthew Martin"/>
    <x v="1"/>
    <n v="22"/>
    <x v="19"/>
    <x v="6"/>
    <x v="6"/>
    <n v="34"/>
    <x v="0"/>
    <x v="5"/>
    <n v="0"/>
    <x v="1"/>
    <m/>
  </r>
  <r>
    <s v="FL250235"/>
    <s v="Julia Murphy"/>
    <x v="0"/>
    <n v="23"/>
    <x v="12"/>
    <x v="10"/>
    <x v="2"/>
    <n v="27"/>
    <x v="0"/>
    <x v="1"/>
    <n v="3.2"/>
    <x v="1"/>
    <m/>
  </r>
  <r>
    <s v="FL250236"/>
    <s v="Anna Evans"/>
    <x v="0"/>
    <n v="53"/>
    <x v="12"/>
    <x v="10"/>
    <x v="0"/>
    <n v="4"/>
    <x v="1"/>
    <x v="3"/>
    <m/>
    <x v="1"/>
    <m/>
  </r>
  <r>
    <s v="FL250237"/>
    <s v="Brenda Fleming"/>
    <x v="0"/>
    <n v="56"/>
    <x v="12"/>
    <x v="10"/>
    <x v="2"/>
    <n v="11"/>
    <x v="2"/>
    <x v="0"/>
    <n v="4.7"/>
    <x v="1"/>
    <n v="0.69"/>
  </r>
  <r>
    <s v="FL250238"/>
    <s v="Daniel Harrington"/>
    <x v="1"/>
    <n v="27"/>
    <x v="14"/>
    <x v="1"/>
    <x v="4"/>
    <n v="4"/>
    <x v="1"/>
    <x v="4"/>
    <n v="5"/>
    <x v="0"/>
    <n v="0.88"/>
  </r>
  <r>
    <s v="FL250239"/>
    <s v="Daniel Barnett"/>
    <x v="1"/>
    <n v="34"/>
    <x v="0"/>
    <x v="0"/>
    <x v="1"/>
    <n v="11"/>
    <x v="2"/>
    <x v="2"/>
    <m/>
    <x v="0"/>
    <n v="0.67"/>
  </r>
  <r>
    <s v="FL250240"/>
    <s v="Mark Cummings"/>
    <x v="1"/>
    <n v="29"/>
    <x v="5"/>
    <x v="1"/>
    <x v="3"/>
    <n v="1"/>
    <x v="1"/>
    <x v="1"/>
    <n v="4"/>
    <x v="0"/>
    <m/>
  </r>
  <r>
    <s v="FL250241"/>
    <s v="Christopher Guerra"/>
    <x v="1"/>
    <n v="34"/>
    <x v="10"/>
    <x v="8"/>
    <x v="4"/>
    <n v="2"/>
    <x v="1"/>
    <x v="5"/>
    <n v="1.2"/>
    <x v="1"/>
    <m/>
  </r>
  <r>
    <s v="FL250242"/>
    <s v="Sarah Ho"/>
    <x v="0"/>
    <n v="32"/>
    <x v="19"/>
    <x v="6"/>
    <x v="4"/>
    <n v="2"/>
    <x v="1"/>
    <x v="0"/>
    <n v="4.7"/>
    <x v="0"/>
    <n v="0.67"/>
  </r>
  <r>
    <s v="FL250243"/>
    <s v="Veronica Thomas"/>
    <x v="0"/>
    <n v="21"/>
    <x v="17"/>
    <x v="14"/>
    <x v="9"/>
    <n v="10"/>
    <x v="3"/>
    <x v="6"/>
    <n v="2.4"/>
    <x v="2"/>
    <n v="0.86"/>
  </r>
  <r>
    <s v="FL250244"/>
    <s v="Mitchell Watson"/>
    <x v="1"/>
    <n v="20"/>
    <x v="19"/>
    <x v="6"/>
    <x v="2"/>
    <n v="18"/>
    <x v="4"/>
    <x v="5"/>
    <n v="1.1000000000000001"/>
    <x v="0"/>
    <n v="0.69"/>
  </r>
  <r>
    <s v="FL250245"/>
    <s v="Monica Murphy"/>
    <x v="0"/>
    <n v="35"/>
    <x v="5"/>
    <x v="1"/>
    <x v="1"/>
    <n v="4"/>
    <x v="1"/>
    <x v="1"/>
    <n v="1.4"/>
    <x v="1"/>
    <n v="0.85"/>
  </r>
  <r>
    <s v="FL250246"/>
    <s v="Kristen Williams"/>
    <x v="0"/>
    <n v="47"/>
    <x v="5"/>
    <x v="1"/>
    <x v="6"/>
    <n v="23"/>
    <x v="0"/>
    <x v="2"/>
    <n v="3.4"/>
    <x v="0"/>
    <n v="0.6"/>
  </r>
  <r>
    <s v="FL250247"/>
    <s v="Nicole Wright"/>
    <x v="0"/>
    <n v="41"/>
    <x v="6"/>
    <x v="5"/>
    <x v="0"/>
    <n v="6"/>
    <x v="3"/>
    <x v="2"/>
    <n v="2.7"/>
    <x v="1"/>
    <n v="0.7"/>
  </r>
  <r>
    <s v="FL250248"/>
    <s v="Andrew Ruiz"/>
    <x v="1"/>
    <n v="58"/>
    <x v="8"/>
    <x v="6"/>
    <x v="3"/>
    <n v="5"/>
    <x v="1"/>
    <x v="5"/>
    <n v="4.9000000000000004"/>
    <x v="0"/>
    <m/>
  </r>
  <r>
    <s v="FL250249"/>
    <s v="Zachary Jackson"/>
    <x v="1"/>
    <n v="34"/>
    <x v="18"/>
    <x v="15"/>
    <x v="5"/>
    <n v="19"/>
    <x v="4"/>
    <x v="4"/>
    <n v="1.9"/>
    <x v="1"/>
    <n v="0.81"/>
  </r>
  <r>
    <s v="FL250250"/>
    <s v="Stephanie Carter"/>
    <x v="0"/>
    <n v="50"/>
    <x v="10"/>
    <x v="8"/>
    <x v="1"/>
    <n v="6"/>
    <x v="3"/>
    <x v="0"/>
    <m/>
    <x v="1"/>
    <m/>
  </r>
  <r>
    <s v="FL250251"/>
    <s v="Amy Olson"/>
    <x v="0"/>
    <n v="42"/>
    <x v="19"/>
    <x v="6"/>
    <x v="8"/>
    <n v="8"/>
    <x v="3"/>
    <x v="4"/>
    <n v="4.5999999999999996"/>
    <x v="0"/>
    <n v="0.78"/>
  </r>
  <r>
    <s v="FL250252"/>
    <s v="Fred Stark"/>
    <x v="1"/>
    <n v="43"/>
    <x v="2"/>
    <x v="2"/>
    <x v="6"/>
    <n v="3"/>
    <x v="1"/>
    <x v="1"/>
    <n v="0"/>
    <x v="0"/>
    <n v="0.81"/>
  </r>
  <r>
    <s v="FL250253"/>
    <s v="Jacob Gill"/>
    <x v="1"/>
    <n v="34"/>
    <x v="2"/>
    <x v="2"/>
    <x v="5"/>
    <n v="8"/>
    <x v="3"/>
    <x v="4"/>
    <n v="1.8"/>
    <x v="1"/>
    <n v="0.71"/>
  </r>
  <r>
    <s v="FL250254"/>
    <s v="Anthony Nichols"/>
    <x v="1"/>
    <n v="24"/>
    <x v="20"/>
    <x v="6"/>
    <x v="1"/>
    <n v="12"/>
    <x v="2"/>
    <x v="4"/>
    <n v="2"/>
    <x v="0"/>
    <m/>
  </r>
  <r>
    <s v="FL250255"/>
    <s v="William Knapp"/>
    <x v="1"/>
    <n v="48"/>
    <x v="17"/>
    <x v="14"/>
    <x v="6"/>
    <n v="30"/>
    <x v="0"/>
    <x v="3"/>
    <n v="5"/>
    <x v="1"/>
    <n v="0.99"/>
  </r>
  <r>
    <s v="FL250256"/>
    <s v="Elizabeth Walker"/>
    <x v="0"/>
    <n v="39"/>
    <x v="12"/>
    <x v="10"/>
    <x v="5"/>
    <n v="21"/>
    <x v="0"/>
    <x v="6"/>
    <n v="3.2"/>
    <x v="1"/>
    <n v="0.66"/>
  </r>
  <r>
    <s v="FL250257"/>
    <s v="Brenda Reeves"/>
    <x v="0"/>
    <n v="57"/>
    <x v="1"/>
    <x v="1"/>
    <x v="0"/>
    <n v="17"/>
    <x v="4"/>
    <x v="3"/>
    <n v="2.4"/>
    <x v="2"/>
    <n v="0.8"/>
  </r>
  <r>
    <s v="FL250258"/>
    <s v="Carrie Little"/>
    <x v="0"/>
    <n v="44"/>
    <x v="14"/>
    <x v="1"/>
    <x v="3"/>
    <n v="9"/>
    <x v="3"/>
    <x v="0"/>
    <n v="2.9"/>
    <x v="0"/>
    <n v="0.83"/>
  </r>
  <r>
    <s v="FL250259"/>
    <s v="Steven Jackson"/>
    <x v="1"/>
    <n v="37"/>
    <x v="11"/>
    <x v="9"/>
    <x v="6"/>
    <n v="2"/>
    <x v="1"/>
    <x v="6"/>
    <n v="0"/>
    <x v="1"/>
    <n v="0.87"/>
  </r>
  <r>
    <s v="FL250260"/>
    <s v="Mark Perry"/>
    <x v="1"/>
    <n v="50"/>
    <x v="6"/>
    <x v="5"/>
    <x v="5"/>
    <n v="1"/>
    <x v="1"/>
    <x v="3"/>
    <n v="3"/>
    <x v="0"/>
    <n v="0.76"/>
  </r>
  <r>
    <s v="FL250261"/>
    <s v="Cameron Spencer"/>
    <x v="1"/>
    <n v="50"/>
    <x v="20"/>
    <x v="6"/>
    <x v="6"/>
    <n v="23"/>
    <x v="0"/>
    <x v="1"/>
    <n v="1.6"/>
    <x v="0"/>
    <n v="0.89"/>
  </r>
  <r>
    <s v="FL250262"/>
    <s v="Jennifer Holmes"/>
    <x v="0"/>
    <n v="28"/>
    <x v="15"/>
    <x v="12"/>
    <x v="2"/>
    <n v="8"/>
    <x v="3"/>
    <x v="6"/>
    <n v="3.6"/>
    <x v="1"/>
    <n v="0.94"/>
  </r>
  <r>
    <s v="FL250263"/>
    <s v="Jacob Joseph"/>
    <x v="1"/>
    <n v="48"/>
    <x v="0"/>
    <x v="0"/>
    <x v="3"/>
    <n v="6"/>
    <x v="3"/>
    <x v="5"/>
    <n v="2.1"/>
    <x v="0"/>
    <n v="0.68"/>
  </r>
  <r>
    <s v="FL250264"/>
    <s v="Jeffery Tucker"/>
    <x v="1"/>
    <n v="42"/>
    <x v="2"/>
    <x v="2"/>
    <x v="8"/>
    <n v="1"/>
    <x v="1"/>
    <x v="3"/>
    <n v="3.6"/>
    <x v="1"/>
    <n v="0.96"/>
  </r>
  <r>
    <s v="FL250265"/>
    <s v="Jacqueline Drake"/>
    <x v="0"/>
    <n v="37"/>
    <x v="14"/>
    <x v="1"/>
    <x v="5"/>
    <n v="19"/>
    <x v="4"/>
    <x v="6"/>
    <n v="2.7"/>
    <x v="1"/>
    <n v="0.91"/>
  </r>
  <r>
    <s v="FL250266"/>
    <s v="Brian Bautista"/>
    <x v="1"/>
    <n v="21"/>
    <x v="10"/>
    <x v="8"/>
    <x v="0"/>
    <n v="2"/>
    <x v="1"/>
    <x v="0"/>
    <n v="2.1"/>
    <x v="1"/>
    <n v="0.92"/>
  </r>
  <r>
    <s v="FL250267"/>
    <s v="Dakota Wells"/>
    <x v="1"/>
    <n v="50"/>
    <x v="12"/>
    <x v="10"/>
    <x v="3"/>
    <n v="21"/>
    <x v="0"/>
    <x v="2"/>
    <n v="4.9000000000000004"/>
    <x v="2"/>
    <n v="0.82"/>
  </r>
  <r>
    <s v="FL250268"/>
    <s v="Julie White"/>
    <x v="0"/>
    <n v="22"/>
    <x v="8"/>
    <x v="6"/>
    <x v="4"/>
    <n v="3"/>
    <x v="1"/>
    <x v="3"/>
    <n v="2.1"/>
    <x v="2"/>
    <m/>
  </r>
  <r>
    <s v="FL250269"/>
    <s v="Barbara Keith"/>
    <x v="0"/>
    <n v="39"/>
    <x v="9"/>
    <x v="7"/>
    <x v="3"/>
    <n v="14"/>
    <x v="2"/>
    <x v="0"/>
    <n v="0"/>
    <x v="0"/>
    <n v="0.91"/>
  </r>
  <r>
    <s v="FL250270"/>
    <s v="Heather Camacho"/>
    <x v="0"/>
    <n v="25"/>
    <x v="9"/>
    <x v="7"/>
    <x v="9"/>
    <n v="10"/>
    <x v="3"/>
    <x v="1"/>
    <n v="2.8"/>
    <x v="1"/>
    <n v="0.86"/>
  </r>
  <r>
    <s v="FL250271"/>
    <s v="Melanie Harris"/>
    <x v="0"/>
    <n v="47"/>
    <x v="17"/>
    <x v="14"/>
    <x v="1"/>
    <n v="5"/>
    <x v="1"/>
    <x v="5"/>
    <m/>
    <x v="0"/>
    <n v="0.69"/>
  </r>
  <r>
    <s v="FL250272"/>
    <s v="Jacqueline Peterson"/>
    <x v="0"/>
    <n v="35"/>
    <x v="17"/>
    <x v="14"/>
    <x v="6"/>
    <n v="21"/>
    <x v="0"/>
    <x v="0"/>
    <n v="4.7"/>
    <x v="1"/>
    <n v="0.84"/>
  </r>
  <r>
    <s v="FL250273"/>
    <s v="Nancy Long"/>
    <x v="0"/>
    <m/>
    <x v="7"/>
    <x v="1"/>
    <x v="7"/>
    <n v="4"/>
    <x v="1"/>
    <x v="0"/>
    <n v="1.3"/>
    <x v="0"/>
    <n v="0.6"/>
  </r>
  <r>
    <s v="FL250274"/>
    <s v="Juan Mitchell"/>
    <x v="1"/>
    <n v="35"/>
    <x v="3"/>
    <x v="3"/>
    <x v="0"/>
    <n v="18"/>
    <x v="4"/>
    <x v="4"/>
    <n v="1.6"/>
    <x v="1"/>
    <n v="0.97"/>
  </r>
  <r>
    <s v="FL250275"/>
    <s v="William Gaines"/>
    <x v="1"/>
    <n v="59"/>
    <x v="15"/>
    <x v="12"/>
    <x v="3"/>
    <n v="12"/>
    <x v="2"/>
    <x v="0"/>
    <n v="0"/>
    <x v="2"/>
    <n v="0.7"/>
  </r>
  <r>
    <s v="FL250276"/>
    <s v="Haley Yates"/>
    <x v="0"/>
    <n v="26"/>
    <x v="18"/>
    <x v="15"/>
    <x v="6"/>
    <n v="6"/>
    <x v="3"/>
    <x v="0"/>
    <n v="3.6"/>
    <x v="0"/>
    <n v="0.81"/>
  </r>
  <r>
    <s v="FL250277"/>
    <s v="Richard Mcguire"/>
    <x v="1"/>
    <n v="44"/>
    <x v="13"/>
    <x v="11"/>
    <x v="9"/>
    <n v="4"/>
    <x v="1"/>
    <x v="6"/>
    <n v="4.7"/>
    <x v="1"/>
    <n v="0.88"/>
  </r>
  <r>
    <s v="FL250278"/>
    <s v="Stephanie Fisher"/>
    <x v="0"/>
    <n v="31"/>
    <x v="17"/>
    <x v="14"/>
    <x v="6"/>
    <n v="13"/>
    <x v="2"/>
    <x v="2"/>
    <m/>
    <x v="1"/>
    <n v="1"/>
  </r>
  <r>
    <s v="FL250279"/>
    <s v="Anthony Goodwin"/>
    <x v="1"/>
    <n v="60"/>
    <x v="6"/>
    <x v="5"/>
    <x v="5"/>
    <n v="6"/>
    <x v="3"/>
    <x v="5"/>
    <n v="3.2"/>
    <x v="0"/>
    <n v="0.95"/>
  </r>
  <r>
    <s v="FL250280"/>
    <s v="Meagan Walters"/>
    <x v="0"/>
    <n v="23"/>
    <x v="7"/>
    <x v="1"/>
    <x v="0"/>
    <n v="20"/>
    <x v="4"/>
    <x v="6"/>
    <m/>
    <x v="0"/>
    <n v="0.71"/>
  </r>
  <r>
    <s v="FL250281"/>
    <s v="David Powell"/>
    <x v="1"/>
    <n v="42"/>
    <x v="4"/>
    <x v="4"/>
    <x v="6"/>
    <n v="20"/>
    <x v="4"/>
    <x v="6"/>
    <n v="4.7"/>
    <x v="0"/>
    <n v="0.85"/>
  </r>
  <r>
    <s v="FL250282"/>
    <s v="Kelly Jones"/>
    <x v="0"/>
    <n v="48"/>
    <x v="10"/>
    <x v="8"/>
    <x v="1"/>
    <n v="11"/>
    <x v="2"/>
    <x v="3"/>
    <m/>
    <x v="0"/>
    <n v="0.96"/>
  </r>
  <r>
    <s v="FL250283"/>
    <s v="Michael Aguilar"/>
    <x v="1"/>
    <n v="42"/>
    <x v="3"/>
    <x v="3"/>
    <x v="2"/>
    <n v="12"/>
    <x v="2"/>
    <x v="6"/>
    <n v="2.4"/>
    <x v="1"/>
    <n v="0.92"/>
  </r>
  <r>
    <s v="FL250284"/>
    <s v="Alex Novak"/>
    <x v="1"/>
    <n v="52"/>
    <x v="12"/>
    <x v="10"/>
    <x v="7"/>
    <n v="1"/>
    <x v="1"/>
    <x v="1"/>
    <m/>
    <x v="0"/>
    <n v="0.79"/>
  </r>
  <r>
    <s v="FL250285"/>
    <s v="Ann Contreras"/>
    <x v="0"/>
    <n v="55"/>
    <x v="9"/>
    <x v="7"/>
    <x v="3"/>
    <n v="2"/>
    <x v="1"/>
    <x v="4"/>
    <n v="2.9"/>
    <x v="0"/>
    <m/>
  </r>
  <r>
    <s v="FL250286"/>
    <s v="Mary Reed"/>
    <x v="0"/>
    <n v="58"/>
    <x v="17"/>
    <x v="14"/>
    <x v="7"/>
    <n v="13"/>
    <x v="2"/>
    <x v="1"/>
    <n v="0"/>
    <x v="0"/>
    <m/>
  </r>
  <r>
    <s v="FL250287"/>
    <s v="Lauren Ross"/>
    <x v="0"/>
    <n v="46"/>
    <x v="12"/>
    <x v="10"/>
    <x v="9"/>
    <n v="0"/>
    <x v="1"/>
    <x v="6"/>
    <n v="0"/>
    <x v="0"/>
    <n v="0.89"/>
  </r>
  <r>
    <s v="FL250288"/>
    <s v="Candice Wise"/>
    <x v="0"/>
    <n v="45"/>
    <x v="20"/>
    <x v="6"/>
    <x v="9"/>
    <n v="7"/>
    <x v="3"/>
    <x v="0"/>
    <n v="1.5"/>
    <x v="1"/>
    <n v="1"/>
  </r>
  <r>
    <s v="FL250289"/>
    <s v="Joyce Humphrey"/>
    <x v="0"/>
    <n v="56"/>
    <x v="10"/>
    <x v="8"/>
    <x v="9"/>
    <n v="13"/>
    <x v="2"/>
    <x v="3"/>
    <n v="1.9"/>
    <x v="1"/>
    <n v="0.81"/>
  </r>
  <r>
    <s v="FL250290"/>
    <s v="James Carr"/>
    <x v="1"/>
    <n v="44"/>
    <x v="7"/>
    <x v="1"/>
    <x v="0"/>
    <n v="21"/>
    <x v="0"/>
    <x v="0"/>
    <n v="3.1"/>
    <x v="1"/>
    <n v="0.95"/>
  </r>
  <r>
    <s v="FL250291"/>
    <s v="Joseph Mendoza"/>
    <x v="1"/>
    <n v="46"/>
    <x v="4"/>
    <x v="4"/>
    <x v="6"/>
    <n v="19"/>
    <x v="4"/>
    <x v="5"/>
    <n v="1.8"/>
    <x v="0"/>
    <n v="0.88"/>
  </r>
  <r>
    <s v="FL250292"/>
    <s v="Cathy Baldwin"/>
    <x v="0"/>
    <n v="27"/>
    <x v="9"/>
    <x v="7"/>
    <x v="3"/>
    <n v="34"/>
    <x v="0"/>
    <x v="3"/>
    <n v="2.4"/>
    <x v="1"/>
    <n v="0.66"/>
  </r>
  <r>
    <s v="FL250293"/>
    <s v="Christine Hart"/>
    <x v="0"/>
    <n v="49"/>
    <x v="10"/>
    <x v="8"/>
    <x v="0"/>
    <n v="3"/>
    <x v="1"/>
    <x v="0"/>
    <n v="4.2"/>
    <x v="1"/>
    <n v="0.84"/>
  </r>
  <r>
    <s v="FL250294"/>
    <s v="Mike Stanley"/>
    <x v="1"/>
    <n v="53"/>
    <x v="19"/>
    <x v="6"/>
    <x v="3"/>
    <n v="0"/>
    <x v="1"/>
    <x v="1"/>
    <n v="1.4"/>
    <x v="0"/>
    <m/>
  </r>
  <r>
    <s v="FL250295"/>
    <s v="Jeffrey Edwards"/>
    <x v="1"/>
    <n v="56"/>
    <x v="1"/>
    <x v="1"/>
    <x v="3"/>
    <n v="20"/>
    <x v="4"/>
    <x v="2"/>
    <n v="1.2"/>
    <x v="1"/>
    <n v="0.82"/>
  </r>
  <r>
    <s v="FL250296"/>
    <s v="Amy Lee"/>
    <x v="0"/>
    <n v="56"/>
    <x v="7"/>
    <x v="1"/>
    <x v="8"/>
    <n v="6"/>
    <x v="3"/>
    <x v="5"/>
    <n v="2.1"/>
    <x v="1"/>
    <n v="0.84"/>
  </r>
  <r>
    <s v="FL250297"/>
    <s v="Mark Thompson"/>
    <x v="1"/>
    <n v="38"/>
    <x v="17"/>
    <x v="14"/>
    <x v="5"/>
    <n v="13"/>
    <x v="2"/>
    <x v="0"/>
    <n v="1.4"/>
    <x v="0"/>
    <n v="0.73"/>
  </r>
  <r>
    <s v="FL250298"/>
    <s v="Alex Wilson"/>
    <x v="1"/>
    <n v="20"/>
    <x v="12"/>
    <x v="10"/>
    <x v="1"/>
    <n v="9"/>
    <x v="3"/>
    <x v="3"/>
    <n v="3.8"/>
    <x v="2"/>
    <n v="0.93"/>
  </r>
  <r>
    <s v="FL250299"/>
    <s v="Nancy Mendez"/>
    <x v="0"/>
    <n v="38"/>
    <x v="14"/>
    <x v="1"/>
    <x v="9"/>
    <n v="2"/>
    <x v="1"/>
    <x v="1"/>
    <n v="0"/>
    <x v="2"/>
    <n v="0.64"/>
  </r>
  <r>
    <s v="FL250300"/>
    <s v="Beth Crane"/>
    <x v="0"/>
    <m/>
    <x v="3"/>
    <x v="3"/>
    <x v="1"/>
    <n v="0"/>
    <x v="1"/>
    <x v="2"/>
    <n v="3.5"/>
    <x v="0"/>
    <n v="0.76"/>
  </r>
  <r>
    <s v="FL250301"/>
    <s v="Miguel Rogers"/>
    <x v="1"/>
    <n v="46"/>
    <x v="10"/>
    <x v="8"/>
    <x v="9"/>
    <n v="0"/>
    <x v="1"/>
    <x v="0"/>
    <n v="0"/>
    <x v="1"/>
    <n v="0.97"/>
  </r>
  <r>
    <s v="FL250302"/>
    <s v="Thomas Robles"/>
    <x v="1"/>
    <n v="36"/>
    <x v="17"/>
    <x v="14"/>
    <x v="5"/>
    <n v="2"/>
    <x v="1"/>
    <x v="4"/>
    <n v="2.2000000000000002"/>
    <x v="0"/>
    <n v="0.95"/>
  </r>
  <r>
    <s v="FL250303"/>
    <s v="Joel Brown III"/>
    <x v="1"/>
    <n v="33"/>
    <x v="13"/>
    <x v="11"/>
    <x v="3"/>
    <n v="2"/>
    <x v="1"/>
    <x v="4"/>
    <n v="2.5"/>
    <x v="0"/>
    <n v="0.65"/>
  </r>
  <r>
    <s v="FL250304"/>
    <s v="Olivia Schultz"/>
    <x v="0"/>
    <n v="37"/>
    <x v="14"/>
    <x v="1"/>
    <x v="2"/>
    <n v="1"/>
    <x v="1"/>
    <x v="1"/>
    <n v="4.7"/>
    <x v="0"/>
    <n v="0.77"/>
  </r>
  <r>
    <s v="FL250305"/>
    <s v="Clayton Pena"/>
    <x v="1"/>
    <n v="20"/>
    <x v="16"/>
    <x v="13"/>
    <x v="5"/>
    <n v="14"/>
    <x v="2"/>
    <x v="6"/>
    <n v="3.9"/>
    <x v="0"/>
    <m/>
  </r>
  <r>
    <s v="FL250306"/>
    <s v="Ashley Salazar"/>
    <x v="0"/>
    <n v="48"/>
    <x v="18"/>
    <x v="15"/>
    <x v="5"/>
    <n v="2"/>
    <x v="1"/>
    <x v="4"/>
    <n v="1.6"/>
    <x v="0"/>
    <n v="0.67"/>
  </r>
  <r>
    <s v="FL250307"/>
    <s v="Robert Lucas"/>
    <x v="1"/>
    <n v="27"/>
    <x v="15"/>
    <x v="12"/>
    <x v="7"/>
    <n v="1"/>
    <x v="1"/>
    <x v="1"/>
    <m/>
    <x v="0"/>
    <n v="0.84"/>
  </r>
  <r>
    <s v="FL250308"/>
    <s v="David Cox"/>
    <x v="1"/>
    <n v="34"/>
    <x v="12"/>
    <x v="10"/>
    <x v="1"/>
    <n v="13"/>
    <x v="2"/>
    <x v="3"/>
    <n v="3.6"/>
    <x v="1"/>
    <n v="0.87"/>
  </r>
  <r>
    <s v="FL250309"/>
    <s v="Christian Campbell"/>
    <x v="1"/>
    <n v="55"/>
    <x v="11"/>
    <x v="9"/>
    <x v="9"/>
    <n v="23"/>
    <x v="0"/>
    <x v="3"/>
    <n v="1.2"/>
    <x v="1"/>
    <n v="0.91"/>
  </r>
  <r>
    <s v="FL250310"/>
    <s v="Angela Ward"/>
    <x v="0"/>
    <n v="44"/>
    <x v="17"/>
    <x v="14"/>
    <x v="9"/>
    <m/>
    <x v="1"/>
    <x v="4"/>
    <n v="3"/>
    <x v="0"/>
    <n v="0.78"/>
  </r>
  <r>
    <s v="FL250311"/>
    <s v="Lucas Chen"/>
    <x v="1"/>
    <n v="31"/>
    <x v="3"/>
    <x v="3"/>
    <x v="6"/>
    <n v="3"/>
    <x v="1"/>
    <x v="1"/>
    <n v="3.9"/>
    <x v="0"/>
    <m/>
  </r>
  <r>
    <s v="FL250312"/>
    <s v="Ruben Nelson"/>
    <x v="1"/>
    <n v="34"/>
    <x v="1"/>
    <x v="1"/>
    <x v="8"/>
    <n v="0"/>
    <x v="1"/>
    <x v="2"/>
    <n v="1.7"/>
    <x v="2"/>
    <n v="0.74"/>
  </r>
  <r>
    <s v="FL250313"/>
    <s v="Brenda Briggs"/>
    <x v="0"/>
    <n v="47"/>
    <x v="11"/>
    <x v="9"/>
    <x v="8"/>
    <n v="0"/>
    <x v="1"/>
    <x v="6"/>
    <n v="4.5"/>
    <x v="2"/>
    <n v="0.91"/>
  </r>
  <r>
    <s v="FL250314"/>
    <s v="Ronald Smith"/>
    <x v="1"/>
    <n v="50"/>
    <x v="5"/>
    <x v="1"/>
    <x v="2"/>
    <n v="17"/>
    <x v="4"/>
    <x v="2"/>
    <n v="3.6"/>
    <x v="1"/>
    <n v="0.71"/>
  </r>
  <r>
    <s v="FL250315"/>
    <s v="Dakota Giles"/>
    <x v="1"/>
    <n v="39"/>
    <x v="2"/>
    <x v="2"/>
    <x v="7"/>
    <n v="9"/>
    <x v="3"/>
    <x v="4"/>
    <n v="3.6"/>
    <x v="1"/>
    <n v="0.87"/>
  </r>
  <r>
    <s v="FL250316"/>
    <s v="Angela Castillo"/>
    <x v="0"/>
    <n v="26"/>
    <x v="8"/>
    <x v="6"/>
    <x v="0"/>
    <n v="4"/>
    <x v="1"/>
    <x v="0"/>
    <n v="2.8"/>
    <x v="1"/>
    <n v="0.61"/>
  </r>
  <r>
    <s v="FL250317"/>
    <s v="Allen Lee"/>
    <x v="1"/>
    <m/>
    <x v="3"/>
    <x v="3"/>
    <x v="8"/>
    <n v="0"/>
    <x v="1"/>
    <x v="0"/>
    <n v="5"/>
    <x v="0"/>
    <m/>
  </r>
  <r>
    <s v="FL250318"/>
    <s v="Michael Rogers"/>
    <x v="1"/>
    <n v="32"/>
    <x v="2"/>
    <x v="2"/>
    <x v="2"/>
    <n v="33"/>
    <x v="0"/>
    <x v="0"/>
    <n v="1.4"/>
    <x v="1"/>
    <n v="0.81"/>
  </r>
  <r>
    <s v="FL250319"/>
    <s v="Danielle Costa"/>
    <x v="0"/>
    <n v="55"/>
    <x v="13"/>
    <x v="11"/>
    <x v="5"/>
    <n v="18"/>
    <x v="4"/>
    <x v="3"/>
    <m/>
    <x v="2"/>
    <m/>
  </r>
  <r>
    <s v="FL250320"/>
    <s v="William Nunez"/>
    <x v="1"/>
    <n v="32"/>
    <x v="8"/>
    <x v="6"/>
    <x v="9"/>
    <n v="9"/>
    <x v="3"/>
    <x v="2"/>
    <n v="4.5999999999999996"/>
    <x v="1"/>
    <n v="0.84"/>
  </r>
  <r>
    <s v="FL250321"/>
    <s v="Christopher Riggs"/>
    <x v="1"/>
    <n v="30"/>
    <x v="12"/>
    <x v="10"/>
    <x v="0"/>
    <n v="40"/>
    <x v="0"/>
    <x v="6"/>
    <n v="3.3"/>
    <x v="0"/>
    <m/>
  </r>
  <r>
    <s v="FL250322"/>
    <s v="Kathryn Myers"/>
    <x v="0"/>
    <n v="37"/>
    <x v="14"/>
    <x v="1"/>
    <x v="7"/>
    <n v="1"/>
    <x v="1"/>
    <x v="2"/>
    <n v="3.7"/>
    <x v="1"/>
    <m/>
  </r>
  <r>
    <s v="FL250323"/>
    <s v="Robert Walls"/>
    <x v="1"/>
    <n v="52"/>
    <x v="11"/>
    <x v="9"/>
    <x v="2"/>
    <n v="5"/>
    <x v="1"/>
    <x v="5"/>
    <n v="0"/>
    <x v="1"/>
    <n v="0.6"/>
  </r>
  <r>
    <s v="FL250324"/>
    <s v="Justin Johnson"/>
    <x v="1"/>
    <n v="48"/>
    <x v="10"/>
    <x v="8"/>
    <x v="7"/>
    <n v="4"/>
    <x v="1"/>
    <x v="1"/>
    <n v="0"/>
    <x v="1"/>
    <n v="0.64"/>
  </r>
  <r>
    <s v="FL250325"/>
    <s v="Paula Stevens"/>
    <x v="0"/>
    <n v="28"/>
    <x v="9"/>
    <x v="7"/>
    <x v="1"/>
    <n v="13"/>
    <x v="2"/>
    <x v="2"/>
    <m/>
    <x v="1"/>
    <n v="0.64"/>
  </r>
  <r>
    <s v="FL250326"/>
    <s v="Jennifer Allen"/>
    <x v="0"/>
    <n v="58"/>
    <x v="20"/>
    <x v="6"/>
    <x v="5"/>
    <n v="33"/>
    <x v="0"/>
    <x v="4"/>
    <n v="3.4"/>
    <x v="1"/>
    <n v="1"/>
  </r>
  <r>
    <s v="FL250327"/>
    <s v="Mark Hudson"/>
    <x v="1"/>
    <n v="30"/>
    <x v="8"/>
    <x v="6"/>
    <x v="3"/>
    <n v="22"/>
    <x v="0"/>
    <x v="2"/>
    <n v="1.6"/>
    <x v="1"/>
    <n v="1"/>
  </r>
  <r>
    <s v="FL250328"/>
    <s v="Jessica Smith"/>
    <x v="0"/>
    <n v="47"/>
    <x v="18"/>
    <x v="15"/>
    <x v="1"/>
    <n v="34"/>
    <x v="0"/>
    <x v="6"/>
    <n v="1.9"/>
    <x v="0"/>
    <m/>
  </r>
  <r>
    <s v="FL250329"/>
    <s v="Mike Dean"/>
    <x v="1"/>
    <n v="44"/>
    <x v="8"/>
    <x v="6"/>
    <x v="4"/>
    <n v="8"/>
    <x v="3"/>
    <x v="1"/>
    <n v="0"/>
    <x v="1"/>
    <n v="0.83"/>
  </r>
  <r>
    <s v="FL250330"/>
    <s v="Jose Wilson"/>
    <x v="1"/>
    <n v="56"/>
    <x v="0"/>
    <x v="0"/>
    <x v="9"/>
    <n v="1"/>
    <x v="1"/>
    <x v="2"/>
    <m/>
    <x v="1"/>
    <n v="0.87"/>
  </r>
  <r>
    <s v="FL250331"/>
    <s v="Tammy Hill"/>
    <x v="0"/>
    <n v="53"/>
    <x v="5"/>
    <x v="1"/>
    <x v="1"/>
    <n v="20"/>
    <x v="4"/>
    <x v="0"/>
    <m/>
    <x v="0"/>
    <n v="0.75"/>
  </r>
  <r>
    <s v="FL250332"/>
    <s v="Nathaniel Flores"/>
    <x v="1"/>
    <n v="59"/>
    <x v="7"/>
    <x v="1"/>
    <x v="1"/>
    <n v="11"/>
    <x v="2"/>
    <x v="2"/>
    <n v="1.1000000000000001"/>
    <x v="1"/>
    <n v="0.61"/>
  </r>
  <r>
    <s v="FL250333"/>
    <s v="Edwin Carter"/>
    <x v="1"/>
    <n v="60"/>
    <x v="5"/>
    <x v="1"/>
    <x v="8"/>
    <n v="2"/>
    <x v="1"/>
    <x v="5"/>
    <n v="2.5"/>
    <x v="0"/>
    <n v="0.93"/>
  </r>
  <r>
    <s v="FL250334"/>
    <s v="Patricia Miller"/>
    <x v="0"/>
    <n v="33"/>
    <x v="2"/>
    <x v="2"/>
    <x v="1"/>
    <n v="6"/>
    <x v="3"/>
    <x v="3"/>
    <n v="3.6"/>
    <x v="1"/>
    <m/>
  </r>
  <r>
    <s v="FL250335"/>
    <s v="Rebecca Schneider"/>
    <x v="0"/>
    <n v="21"/>
    <x v="8"/>
    <x v="6"/>
    <x v="3"/>
    <n v="20"/>
    <x v="4"/>
    <x v="6"/>
    <m/>
    <x v="0"/>
    <n v="0.99"/>
  </r>
  <r>
    <s v="FL250336"/>
    <s v="John Greene"/>
    <x v="1"/>
    <n v="54"/>
    <x v="7"/>
    <x v="1"/>
    <x v="6"/>
    <m/>
    <x v="1"/>
    <x v="1"/>
    <n v="4.4000000000000004"/>
    <x v="0"/>
    <n v="0.73"/>
  </r>
  <r>
    <s v="FL250337"/>
    <s v="Brittany Mcdowell"/>
    <x v="0"/>
    <n v="33"/>
    <x v="5"/>
    <x v="1"/>
    <x v="2"/>
    <n v="4"/>
    <x v="1"/>
    <x v="4"/>
    <n v="2.1"/>
    <x v="0"/>
    <n v="0.96"/>
  </r>
  <r>
    <s v="FL250338"/>
    <s v="Lori Miller"/>
    <x v="0"/>
    <n v="57"/>
    <x v="6"/>
    <x v="5"/>
    <x v="5"/>
    <n v="3"/>
    <x v="1"/>
    <x v="2"/>
    <n v="0"/>
    <x v="0"/>
    <n v="0.6"/>
  </r>
  <r>
    <s v="FL250339"/>
    <s v="Joseph Robinson"/>
    <x v="1"/>
    <n v="36"/>
    <x v="12"/>
    <x v="10"/>
    <x v="2"/>
    <n v="33"/>
    <x v="0"/>
    <x v="6"/>
    <n v="1"/>
    <x v="1"/>
    <n v="0.64"/>
  </r>
  <r>
    <s v="FL250340"/>
    <s v="Aaron Pruitt"/>
    <x v="1"/>
    <n v="50"/>
    <x v="2"/>
    <x v="2"/>
    <x v="0"/>
    <n v="1"/>
    <x v="1"/>
    <x v="3"/>
    <n v="0"/>
    <x v="0"/>
    <m/>
  </r>
  <r>
    <s v="FL250341"/>
    <s v="Victoria Miller"/>
    <x v="0"/>
    <n v="37"/>
    <x v="14"/>
    <x v="1"/>
    <x v="8"/>
    <n v="23"/>
    <x v="0"/>
    <x v="6"/>
    <n v="4.9000000000000004"/>
    <x v="0"/>
    <m/>
  </r>
  <r>
    <s v="FL250342"/>
    <s v="Clarence Vega"/>
    <x v="1"/>
    <n v="53"/>
    <x v="0"/>
    <x v="0"/>
    <x v="4"/>
    <n v="13"/>
    <x v="2"/>
    <x v="3"/>
    <n v="4.7"/>
    <x v="0"/>
    <n v="0.99"/>
  </r>
  <r>
    <s v="FL250343"/>
    <s v="Deborah Day"/>
    <x v="0"/>
    <n v="22"/>
    <x v="0"/>
    <x v="0"/>
    <x v="0"/>
    <n v="1"/>
    <x v="1"/>
    <x v="2"/>
    <n v="2.1"/>
    <x v="0"/>
    <m/>
  </r>
  <r>
    <s v="FL250344"/>
    <s v="Nicole Rocha"/>
    <x v="0"/>
    <n v="55"/>
    <x v="3"/>
    <x v="3"/>
    <x v="1"/>
    <n v="15"/>
    <x v="2"/>
    <x v="2"/>
    <n v="1.5"/>
    <x v="1"/>
    <n v="0.71"/>
  </r>
  <r>
    <s v="FL250345"/>
    <s v="Elijah Green"/>
    <x v="1"/>
    <n v="22"/>
    <x v="1"/>
    <x v="1"/>
    <x v="7"/>
    <n v="18"/>
    <x v="4"/>
    <x v="5"/>
    <n v="2.6"/>
    <x v="0"/>
    <n v="0.72"/>
  </r>
  <r>
    <s v="FL250346"/>
    <s v="Emily Johnson"/>
    <x v="0"/>
    <n v="45"/>
    <x v="6"/>
    <x v="5"/>
    <x v="3"/>
    <n v="21"/>
    <x v="0"/>
    <x v="1"/>
    <n v="0"/>
    <x v="0"/>
    <n v="0.66"/>
  </r>
  <r>
    <s v="FL250347"/>
    <s v="Richard Velasquez Jr."/>
    <x v="1"/>
    <n v="36"/>
    <x v="15"/>
    <x v="12"/>
    <x v="5"/>
    <n v="1"/>
    <x v="1"/>
    <x v="2"/>
    <m/>
    <x v="0"/>
    <n v="0.78"/>
  </r>
  <r>
    <s v="FL250348"/>
    <s v="Kurt Wilson"/>
    <x v="1"/>
    <n v="23"/>
    <x v="1"/>
    <x v="1"/>
    <x v="8"/>
    <n v="25"/>
    <x v="0"/>
    <x v="6"/>
    <n v="4"/>
    <x v="1"/>
    <n v="1"/>
  </r>
  <r>
    <s v="FL250349"/>
    <s v="Jeremiah Rodriguez"/>
    <x v="1"/>
    <n v="55"/>
    <x v="0"/>
    <x v="0"/>
    <x v="8"/>
    <n v="12"/>
    <x v="2"/>
    <x v="2"/>
    <n v="4.5"/>
    <x v="2"/>
    <m/>
  </r>
  <r>
    <s v="FL250350"/>
    <s v="Lauren Lang"/>
    <x v="0"/>
    <n v="50"/>
    <x v="11"/>
    <x v="9"/>
    <x v="1"/>
    <n v="32"/>
    <x v="0"/>
    <x v="4"/>
    <n v="3.8"/>
    <x v="0"/>
    <n v="0.67"/>
  </r>
  <r>
    <s v="FL250351"/>
    <s v="Matthew Phillips"/>
    <x v="1"/>
    <n v="48"/>
    <x v="5"/>
    <x v="1"/>
    <x v="9"/>
    <m/>
    <x v="1"/>
    <x v="1"/>
    <n v="4"/>
    <x v="0"/>
    <n v="0.78"/>
  </r>
  <r>
    <s v="FL250352"/>
    <s v="Michael Andersen"/>
    <x v="1"/>
    <n v="23"/>
    <x v="3"/>
    <x v="3"/>
    <x v="8"/>
    <n v="10"/>
    <x v="3"/>
    <x v="2"/>
    <n v="4.9000000000000004"/>
    <x v="1"/>
    <n v="0.78"/>
  </r>
  <r>
    <s v="FL250353"/>
    <s v="Amanda Mayo"/>
    <x v="0"/>
    <n v="49"/>
    <x v="14"/>
    <x v="1"/>
    <x v="3"/>
    <n v="0"/>
    <x v="1"/>
    <x v="3"/>
    <n v="3.4"/>
    <x v="0"/>
    <n v="0.75"/>
  </r>
  <r>
    <s v="FL250354"/>
    <s v="Jessica Vance"/>
    <x v="0"/>
    <n v="47"/>
    <x v="0"/>
    <x v="0"/>
    <x v="7"/>
    <n v="1"/>
    <x v="1"/>
    <x v="1"/>
    <n v="2.1"/>
    <x v="1"/>
    <n v="0.67"/>
  </r>
  <r>
    <s v="FL250355"/>
    <s v="Alexa Gallegos"/>
    <x v="0"/>
    <n v="56"/>
    <x v="9"/>
    <x v="7"/>
    <x v="2"/>
    <n v="2"/>
    <x v="1"/>
    <x v="2"/>
    <n v="0"/>
    <x v="1"/>
    <n v="0.86"/>
  </r>
  <r>
    <s v="FL250356"/>
    <s v="Charles Pratt"/>
    <x v="1"/>
    <n v="58"/>
    <x v="8"/>
    <x v="6"/>
    <x v="6"/>
    <n v="9"/>
    <x v="3"/>
    <x v="0"/>
    <n v="4.5"/>
    <x v="0"/>
    <n v="0.77"/>
  </r>
  <r>
    <s v="FL250357"/>
    <s v="Brian Baker"/>
    <x v="1"/>
    <n v="32"/>
    <x v="12"/>
    <x v="10"/>
    <x v="6"/>
    <n v="22"/>
    <x v="0"/>
    <x v="3"/>
    <n v="3.8"/>
    <x v="0"/>
    <n v="0.61"/>
  </r>
  <r>
    <s v="FL250358"/>
    <s v="Christina Norman"/>
    <x v="0"/>
    <n v="52"/>
    <x v="10"/>
    <x v="8"/>
    <x v="6"/>
    <n v="5"/>
    <x v="1"/>
    <x v="5"/>
    <n v="4.3"/>
    <x v="0"/>
    <n v="0.9"/>
  </r>
  <r>
    <s v="FL250359"/>
    <s v="Laura Kelly"/>
    <x v="0"/>
    <n v="22"/>
    <x v="18"/>
    <x v="15"/>
    <x v="5"/>
    <n v="6"/>
    <x v="3"/>
    <x v="1"/>
    <n v="0"/>
    <x v="2"/>
    <n v="0.98"/>
  </r>
  <r>
    <s v="FL250360"/>
    <s v="John Webb"/>
    <x v="1"/>
    <n v="20"/>
    <x v="10"/>
    <x v="8"/>
    <x v="7"/>
    <n v="26"/>
    <x v="0"/>
    <x v="3"/>
    <m/>
    <x v="1"/>
    <n v="0.99"/>
  </r>
  <r>
    <s v="FL250361"/>
    <s v="Christopher Burton"/>
    <x v="1"/>
    <n v="56"/>
    <x v="3"/>
    <x v="3"/>
    <x v="5"/>
    <m/>
    <x v="1"/>
    <x v="2"/>
    <n v="2.6"/>
    <x v="0"/>
    <n v="0.61"/>
  </r>
  <r>
    <s v="FL250362"/>
    <s v="Bradley Aguilar"/>
    <x v="1"/>
    <n v="41"/>
    <x v="9"/>
    <x v="7"/>
    <x v="5"/>
    <n v="9"/>
    <x v="3"/>
    <x v="1"/>
    <n v="1.6"/>
    <x v="1"/>
    <n v="0.61"/>
  </r>
  <r>
    <s v="FL250363"/>
    <s v="Arthur Vasquez"/>
    <x v="1"/>
    <n v="25"/>
    <x v="8"/>
    <x v="6"/>
    <x v="0"/>
    <n v="11"/>
    <x v="2"/>
    <x v="3"/>
    <n v="2.2999999999999998"/>
    <x v="0"/>
    <n v="0.91"/>
  </r>
  <r>
    <s v="FL250364"/>
    <s v="Angela Castro"/>
    <x v="0"/>
    <n v="44"/>
    <x v="14"/>
    <x v="1"/>
    <x v="7"/>
    <m/>
    <x v="1"/>
    <x v="4"/>
    <n v="4.5999999999999996"/>
    <x v="1"/>
    <n v="0.72"/>
  </r>
  <r>
    <s v="FL250365"/>
    <s v="Summer Yoder"/>
    <x v="0"/>
    <n v="46"/>
    <x v="1"/>
    <x v="1"/>
    <x v="3"/>
    <n v="3"/>
    <x v="1"/>
    <x v="0"/>
    <n v="2.1"/>
    <x v="2"/>
    <m/>
  </r>
  <r>
    <s v="FL250366"/>
    <s v="Jackie Allen"/>
    <x v="0"/>
    <n v="40"/>
    <x v="12"/>
    <x v="10"/>
    <x v="0"/>
    <n v="15"/>
    <x v="2"/>
    <x v="2"/>
    <n v="1.5"/>
    <x v="0"/>
    <n v="0.96"/>
  </r>
  <r>
    <s v="FL250367"/>
    <s v="Brandon Williams"/>
    <x v="1"/>
    <m/>
    <x v="18"/>
    <x v="15"/>
    <x v="4"/>
    <n v="12"/>
    <x v="2"/>
    <x v="2"/>
    <n v="1.7"/>
    <x v="1"/>
    <n v="0.72"/>
  </r>
  <r>
    <s v="FL250368"/>
    <s v="Manuel Torres"/>
    <x v="1"/>
    <n v="31"/>
    <x v="9"/>
    <x v="7"/>
    <x v="5"/>
    <n v="19"/>
    <x v="4"/>
    <x v="5"/>
    <n v="3.3"/>
    <x v="0"/>
    <m/>
  </r>
  <r>
    <s v="FL250369"/>
    <s v="Scott Keller"/>
    <x v="1"/>
    <n v="33"/>
    <x v="12"/>
    <x v="10"/>
    <x v="9"/>
    <n v="13"/>
    <x v="2"/>
    <x v="2"/>
    <n v="4.3"/>
    <x v="1"/>
    <n v="0.63"/>
  </r>
  <r>
    <s v="FL250370"/>
    <s v="Deborah Brown"/>
    <x v="0"/>
    <n v="31"/>
    <x v="11"/>
    <x v="9"/>
    <x v="9"/>
    <m/>
    <x v="1"/>
    <x v="6"/>
    <m/>
    <x v="0"/>
    <m/>
  </r>
  <r>
    <s v="FL250371"/>
    <s v="Jennifer Lara"/>
    <x v="0"/>
    <n v="49"/>
    <x v="0"/>
    <x v="0"/>
    <x v="5"/>
    <n v="3"/>
    <x v="1"/>
    <x v="4"/>
    <n v="2.6"/>
    <x v="0"/>
    <n v="0.83"/>
  </r>
  <r>
    <s v="FL250372"/>
    <s v="Jason Scott"/>
    <x v="1"/>
    <n v="35"/>
    <x v="19"/>
    <x v="6"/>
    <x v="2"/>
    <n v="26"/>
    <x v="0"/>
    <x v="6"/>
    <n v="4.0999999999999996"/>
    <x v="2"/>
    <n v="0.94"/>
  </r>
  <r>
    <s v="FL250373"/>
    <s v="Gregory Garrison"/>
    <x v="1"/>
    <n v="45"/>
    <x v="10"/>
    <x v="8"/>
    <x v="5"/>
    <n v="4"/>
    <x v="1"/>
    <x v="2"/>
    <n v="2.2000000000000002"/>
    <x v="1"/>
    <n v="0.78"/>
  </r>
  <r>
    <s v="FL250374"/>
    <s v="Chelsea Anderson"/>
    <x v="0"/>
    <n v="39"/>
    <x v="3"/>
    <x v="3"/>
    <x v="5"/>
    <n v="8"/>
    <x v="3"/>
    <x v="3"/>
    <n v="1.1000000000000001"/>
    <x v="1"/>
    <m/>
  </r>
  <r>
    <s v="FL250375"/>
    <s v="Gerald Johnson"/>
    <x v="1"/>
    <m/>
    <x v="8"/>
    <x v="6"/>
    <x v="0"/>
    <n v="10"/>
    <x v="3"/>
    <x v="1"/>
    <n v="2.1"/>
    <x v="1"/>
    <n v="0.82"/>
  </r>
  <r>
    <s v="FL250376"/>
    <s v="Kevin Ellis"/>
    <x v="1"/>
    <n v="24"/>
    <x v="2"/>
    <x v="2"/>
    <x v="7"/>
    <n v="5"/>
    <x v="1"/>
    <x v="3"/>
    <n v="2.2999999999999998"/>
    <x v="0"/>
    <n v="0.66"/>
  </r>
  <r>
    <s v="FL250377"/>
    <s v="Mitchell Keller"/>
    <x v="1"/>
    <n v="50"/>
    <x v="1"/>
    <x v="1"/>
    <x v="2"/>
    <n v="18"/>
    <x v="4"/>
    <x v="5"/>
    <n v="3.6"/>
    <x v="1"/>
    <n v="0.82"/>
  </r>
  <r>
    <s v="FL250378"/>
    <s v="Mary Brown"/>
    <x v="0"/>
    <n v="23"/>
    <x v="2"/>
    <x v="2"/>
    <x v="9"/>
    <n v="10"/>
    <x v="3"/>
    <x v="6"/>
    <n v="4.7"/>
    <x v="1"/>
    <n v="0.84"/>
  </r>
  <r>
    <s v="FL250379"/>
    <s v="Ronald Walls"/>
    <x v="1"/>
    <n v="27"/>
    <x v="14"/>
    <x v="1"/>
    <x v="7"/>
    <n v="0"/>
    <x v="1"/>
    <x v="6"/>
    <n v="4.8"/>
    <x v="0"/>
    <n v="0.81"/>
  </r>
  <r>
    <s v="FL250380"/>
    <s v="Anthony Avila"/>
    <x v="1"/>
    <n v="58"/>
    <x v="17"/>
    <x v="14"/>
    <x v="4"/>
    <n v="21"/>
    <x v="0"/>
    <x v="4"/>
    <n v="4.2"/>
    <x v="0"/>
    <n v="0.71"/>
  </r>
  <r>
    <s v="FL250381"/>
    <s v="Douglas Goodwin"/>
    <x v="1"/>
    <n v="37"/>
    <x v="0"/>
    <x v="0"/>
    <x v="9"/>
    <n v="25"/>
    <x v="0"/>
    <x v="5"/>
    <n v="4.8"/>
    <x v="1"/>
    <n v="0.61"/>
  </r>
  <r>
    <s v="FL250382"/>
    <s v="James Mills"/>
    <x v="1"/>
    <n v="39"/>
    <x v="20"/>
    <x v="6"/>
    <x v="0"/>
    <n v="0"/>
    <x v="1"/>
    <x v="4"/>
    <n v="4"/>
    <x v="1"/>
    <n v="0.66"/>
  </r>
  <r>
    <s v="FL250383"/>
    <s v="Nicole Marks"/>
    <x v="0"/>
    <n v="46"/>
    <x v="16"/>
    <x v="13"/>
    <x v="5"/>
    <n v="5"/>
    <x v="1"/>
    <x v="6"/>
    <n v="2.5"/>
    <x v="1"/>
    <n v="0.97"/>
  </r>
  <r>
    <s v="FL250384"/>
    <s v="Phyllis Dawson"/>
    <x v="0"/>
    <m/>
    <x v="7"/>
    <x v="1"/>
    <x v="6"/>
    <n v="1"/>
    <x v="1"/>
    <x v="6"/>
    <n v="4.8"/>
    <x v="0"/>
    <n v="0.74"/>
  </r>
  <r>
    <s v="FL250385"/>
    <s v="Renee Arnold"/>
    <x v="0"/>
    <n v="39"/>
    <x v="19"/>
    <x v="6"/>
    <x v="0"/>
    <n v="4"/>
    <x v="1"/>
    <x v="3"/>
    <n v="4.7"/>
    <x v="0"/>
    <n v="0.61"/>
  </r>
  <r>
    <s v="FL250386"/>
    <s v="Eric Robinson"/>
    <x v="1"/>
    <n v="59"/>
    <x v="16"/>
    <x v="13"/>
    <x v="0"/>
    <n v="21"/>
    <x v="0"/>
    <x v="6"/>
    <n v="4"/>
    <x v="0"/>
    <n v="0.9"/>
  </r>
  <r>
    <s v="FL250387"/>
    <s v="Paul Brown"/>
    <x v="1"/>
    <n v="21"/>
    <x v="3"/>
    <x v="3"/>
    <x v="8"/>
    <n v="1"/>
    <x v="1"/>
    <x v="2"/>
    <n v="4.0999999999999996"/>
    <x v="1"/>
    <n v="0.97"/>
  </r>
  <r>
    <s v="FL250388"/>
    <s v="Sarah Proctor"/>
    <x v="0"/>
    <n v="23"/>
    <x v="14"/>
    <x v="1"/>
    <x v="8"/>
    <m/>
    <x v="1"/>
    <x v="0"/>
    <n v="3.2"/>
    <x v="1"/>
    <m/>
  </r>
  <r>
    <s v="FL250389"/>
    <s v="Matthew Hicks"/>
    <x v="1"/>
    <n v="27"/>
    <x v="16"/>
    <x v="13"/>
    <x v="3"/>
    <n v="10"/>
    <x v="3"/>
    <x v="6"/>
    <n v="4.3"/>
    <x v="0"/>
    <n v="0.76"/>
  </r>
  <r>
    <s v="FL250390"/>
    <s v="Christopher Black"/>
    <x v="1"/>
    <n v="27"/>
    <x v="18"/>
    <x v="15"/>
    <x v="7"/>
    <n v="21"/>
    <x v="0"/>
    <x v="2"/>
    <n v="4.4000000000000004"/>
    <x v="0"/>
    <n v="0.92"/>
  </r>
  <r>
    <s v="FL250391"/>
    <s v="Joanne Reyes"/>
    <x v="0"/>
    <n v="48"/>
    <x v="17"/>
    <x v="14"/>
    <x v="5"/>
    <n v="0"/>
    <x v="1"/>
    <x v="2"/>
    <n v="2.2999999999999998"/>
    <x v="0"/>
    <m/>
  </r>
  <r>
    <s v="FL250392"/>
    <s v="Isaac Gray"/>
    <x v="1"/>
    <n v="21"/>
    <x v="17"/>
    <x v="14"/>
    <x v="4"/>
    <n v="0"/>
    <x v="1"/>
    <x v="6"/>
    <n v="2.4"/>
    <x v="1"/>
    <n v="0.66"/>
  </r>
  <r>
    <s v="FL250393"/>
    <s v="Joshua Roberts"/>
    <x v="1"/>
    <n v="37"/>
    <x v="0"/>
    <x v="0"/>
    <x v="8"/>
    <n v="5"/>
    <x v="1"/>
    <x v="1"/>
    <n v="4.5999999999999996"/>
    <x v="0"/>
    <n v="0.83"/>
  </r>
  <r>
    <s v="FL250394"/>
    <s v="Elizabeth Estrada"/>
    <x v="0"/>
    <n v="31"/>
    <x v="2"/>
    <x v="2"/>
    <x v="6"/>
    <n v="1"/>
    <x v="1"/>
    <x v="1"/>
    <n v="0"/>
    <x v="0"/>
    <m/>
  </r>
  <r>
    <s v="FL250395"/>
    <s v="Lori Malone"/>
    <x v="0"/>
    <n v="41"/>
    <x v="16"/>
    <x v="13"/>
    <x v="0"/>
    <n v="2"/>
    <x v="1"/>
    <x v="5"/>
    <n v="0"/>
    <x v="1"/>
    <m/>
  </r>
  <r>
    <s v="FL250396"/>
    <s v="Anthony Huynh"/>
    <x v="1"/>
    <n v="31"/>
    <x v="13"/>
    <x v="11"/>
    <x v="7"/>
    <n v="32"/>
    <x v="0"/>
    <x v="6"/>
    <n v="4.2"/>
    <x v="1"/>
    <n v="0.82"/>
  </r>
  <r>
    <s v="FL250397"/>
    <s v="Mindy York"/>
    <x v="0"/>
    <n v="58"/>
    <x v="8"/>
    <x v="6"/>
    <x v="5"/>
    <n v="14"/>
    <x v="2"/>
    <x v="1"/>
    <n v="2.2999999999999998"/>
    <x v="0"/>
    <n v="0.77"/>
  </r>
  <r>
    <s v="FL250398"/>
    <s v="Christine Cherry"/>
    <x v="0"/>
    <n v="45"/>
    <x v="3"/>
    <x v="3"/>
    <x v="5"/>
    <n v="10"/>
    <x v="3"/>
    <x v="1"/>
    <n v="4.7"/>
    <x v="1"/>
    <n v="0.73"/>
  </r>
  <r>
    <s v="FL250399"/>
    <s v="Daniel Foster"/>
    <x v="1"/>
    <n v="51"/>
    <x v="12"/>
    <x v="10"/>
    <x v="7"/>
    <n v="27"/>
    <x v="0"/>
    <x v="5"/>
    <n v="3"/>
    <x v="1"/>
    <n v="0.88"/>
  </r>
  <r>
    <s v="FL250400"/>
    <s v="David Valencia"/>
    <x v="1"/>
    <n v="54"/>
    <x v="5"/>
    <x v="1"/>
    <x v="6"/>
    <n v="2"/>
    <x v="1"/>
    <x v="3"/>
    <n v="2.4"/>
    <x v="0"/>
    <n v="0.81"/>
  </r>
  <r>
    <s v="FL250401"/>
    <s v="Ethan Adams"/>
    <x v="1"/>
    <n v="22"/>
    <x v="13"/>
    <x v="11"/>
    <x v="5"/>
    <n v="33"/>
    <x v="0"/>
    <x v="6"/>
    <n v="1.7"/>
    <x v="0"/>
    <n v="0.78"/>
  </r>
  <r>
    <s v="FL250402"/>
    <s v="Brett Moore"/>
    <x v="1"/>
    <n v="36"/>
    <x v="6"/>
    <x v="5"/>
    <x v="7"/>
    <n v="11"/>
    <x v="2"/>
    <x v="4"/>
    <n v="0"/>
    <x v="0"/>
    <n v="0.92"/>
  </r>
  <r>
    <s v="FL250403"/>
    <s v="Phillip Griffin"/>
    <x v="1"/>
    <n v="50"/>
    <x v="2"/>
    <x v="2"/>
    <x v="8"/>
    <n v="2"/>
    <x v="1"/>
    <x v="3"/>
    <m/>
    <x v="0"/>
    <n v="0.64"/>
  </r>
  <r>
    <s v="FL250404"/>
    <s v="Stacie Wall"/>
    <x v="0"/>
    <n v="41"/>
    <x v="1"/>
    <x v="1"/>
    <x v="0"/>
    <n v="31"/>
    <x v="0"/>
    <x v="3"/>
    <n v="0"/>
    <x v="1"/>
    <n v="0.78"/>
  </r>
  <r>
    <s v="FL250405"/>
    <s v="Jacob Austin"/>
    <x v="1"/>
    <m/>
    <x v="17"/>
    <x v="14"/>
    <x v="3"/>
    <n v="17"/>
    <x v="4"/>
    <x v="6"/>
    <n v="1.8"/>
    <x v="1"/>
    <n v="0.85"/>
  </r>
  <r>
    <s v="FL250406"/>
    <s v="Sabrina Davidson"/>
    <x v="0"/>
    <n v="51"/>
    <x v="3"/>
    <x v="3"/>
    <x v="7"/>
    <n v="2"/>
    <x v="1"/>
    <x v="1"/>
    <n v="0"/>
    <x v="0"/>
    <n v="0.78"/>
  </r>
  <r>
    <s v="FL250407"/>
    <s v="Dustin Douglas"/>
    <x v="1"/>
    <n v="21"/>
    <x v="15"/>
    <x v="12"/>
    <x v="4"/>
    <n v="2"/>
    <x v="1"/>
    <x v="3"/>
    <n v="3.8"/>
    <x v="1"/>
    <n v="0.98"/>
  </r>
  <r>
    <s v="FL250408"/>
    <s v="Steven Norris"/>
    <x v="1"/>
    <n v="51"/>
    <x v="9"/>
    <x v="7"/>
    <x v="4"/>
    <n v="22"/>
    <x v="0"/>
    <x v="2"/>
    <n v="0"/>
    <x v="1"/>
    <n v="0.63"/>
  </r>
  <r>
    <s v="FL250409"/>
    <s v="Mindy Sullivan"/>
    <x v="0"/>
    <n v="37"/>
    <x v="4"/>
    <x v="4"/>
    <x v="2"/>
    <n v="8"/>
    <x v="3"/>
    <x v="2"/>
    <n v="3.6"/>
    <x v="0"/>
    <n v="0.73"/>
  </r>
  <r>
    <s v="FL250410"/>
    <s v="Elizabeth Stone"/>
    <x v="0"/>
    <n v="20"/>
    <x v="20"/>
    <x v="6"/>
    <x v="2"/>
    <n v="9"/>
    <x v="3"/>
    <x v="3"/>
    <n v="0"/>
    <x v="0"/>
    <n v="0.94"/>
  </r>
  <r>
    <s v="FL250411"/>
    <s v="Diane Flores"/>
    <x v="0"/>
    <n v="50"/>
    <x v="1"/>
    <x v="1"/>
    <x v="3"/>
    <n v="32"/>
    <x v="0"/>
    <x v="1"/>
    <n v="4.0999999999999996"/>
    <x v="2"/>
    <n v="0.81"/>
  </r>
  <r>
    <s v="FL250412"/>
    <s v="Jessica Erickson"/>
    <x v="0"/>
    <n v="58"/>
    <x v="6"/>
    <x v="5"/>
    <x v="2"/>
    <n v="8"/>
    <x v="3"/>
    <x v="1"/>
    <n v="2.6"/>
    <x v="1"/>
    <n v="0.61"/>
  </r>
  <r>
    <s v="FL250413"/>
    <s v="Sara Moses"/>
    <x v="0"/>
    <n v="40"/>
    <x v="11"/>
    <x v="9"/>
    <x v="6"/>
    <n v="10"/>
    <x v="3"/>
    <x v="0"/>
    <n v="0"/>
    <x v="0"/>
    <m/>
  </r>
  <r>
    <s v="FL250414"/>
    <s v="Allison Henderson"/>
    <x v="0"/>
    <n v="26"/>
    <x v="16"/>
    <x v="13"/>
    <x v="3"/>
    <n v="0"/>
    <x v="1"/>
    <x v="6"/>
    <n v="1.3"/>
    <x v="0"/>
    <n v="0.83"/>
  </r>
  <r>
    <s v="FL250415"/>
    <s v="Susan Dixon"/>
    <x v="0"/>
    <n v="44"/>
    <x v="12"/>
    <x v="10"/>
    <x v="7"/>
    <n v="22"/>
    <x v="0"/>
    <x v="3"/>
    <n v="4.0999999999999996"/>
    <x v="1"/>
    <m/>
  </r>
  <r>
    <s v="FL250416"/>
    <s v="David Morrison"/>
    <x v="1"/>
    <n v="42"/>
    <x v="19"/>
    <x v="6"/>
    <x v="9"/>
    <n v="34"/>
    <x v="0"/>
    <x v="1"/>
    <n v="2.4"/>
    <x v="0"/>
    <n v="0.68"/>
  </r>
  <r>
    <s v="FL250417"/>
    <s v="Jason Carter"/>
    <x v="1"/>
    <n v="38"/>
    <x v="19"/>
    <x v="6"/>
    <x v="5"/>
    <n v="5"/>
    <x v="1"/>
    <x v="1"/>
    <n v="0"/>
    <x v="0"/>
    <n v="0.74"/>
  </r>
  <r>
    <s v="FL250418"/>
    <s v="James Jacobs"/>
    <x v="1"/>
    <n v="51"/>
    <x v="16"/>
    <x v="13"/>
    <x v="3"/>
    <n v="3"/>
    <x v="1"/>
    <x v="0"/>
    <n v="4.4000000000000004"/>
    <x v="0"/>
    <n v="0.91"/>
  </r>
  <r>
    <s v="FL250419"/>
    <s v="Kathleen Quinn"/>
    <x v="0"/>
    <n v="36"/>
    <x v="15"/>
    <x v="12"/>
    <x v="4"/>
    <n v="10"/>
    <x v="3"/>
    <x v="0"/>
    <n v="2.2000000000000002"/>
    <x v="1"/>
    <n v="0.97"/>
  </r>
  <r>
    <s v="FL250420"/>
    <s v="Natalie Frank"/>
    <x v="0"/>
    <n v="37"/>
    <x v="1"/>
    <x v="1"/>
    <x v="1"/>
    <m/>
    <x v="1"/>
    <x v="3"/>
    <n v="0"/>
    <x v="0"/>
    <n v="0.96"/>
  </r>
  <r>
    <s v="FL250421"/>
    <s v="Michael Reed"/>
    <x v="1"/>
    <n v="31"/>
    <x v="17"/>
    <x v="14"/>
    <x v="8"/>
    <n v="6"/>
    <x v="3"/>
    <x v="1"/>
    <n v="1.1000000000000001"/>
    <x v="1"/>
    <n v="0.73"/>
  </r>
  <r>
    <s v="FL250422"/>
    <s v="Sheila Smith"/>
    <x v="0"/>
    <n v="47"/>
    <x v="10"/>
    <x v="8"/>
    <x v="7"/>
    <n v="1"/>
    <x v="1"/>
    <x v="5"/>
    <n v="1.4"/>
    <x v="1"/>
    <n v="0.72"/>
  </r>
  <r>
    <s v="FL250423"/>
    <s v="Morgan Ford"/>
    <x v="0"/>
    <n v="60"/>
    <x v="19"/>
    <x v="6"/>
    <x v="6"/>
    <n v="0"/>
    <x v="1"/>
    <x v="0"/>
    <n v="0"/>
    <x v="1"/>
    <n v="0.74"/>
  </r>
  <r>
    <s v="FL250424"/>
    <s v="Linda Schultz"/>
    <x v="0"/>
    <n v="48"/>
    <x v="8"/>
    <x v="6"/>
    <x v="1"/>
    <m/>
    <x v="1"/>
    <x v="3"/>
    <n v="1.5"/>
    <x v="0"/>
    <m/>
  </r>
  <r>
    <s v="FL250425"/>
    <s v="Regina Daniel"/>
    <x v="0"/>
    <n v="24"/>
    <x v="10"/>
    <x v="8"/>
    <x v="4"/>
    <n v="13"/>
    <x v="2"/>
    <x v="6"/>
    <n v="0"/>
    <x v="1"/>
    <m/>
  </r>
  <r>
    <s v="FL250426"/>
    <s v="Allison Perkins"/>
    <x v="0"/>
    <n v="35"/>
    <x v="3"/>
    <x v="3"/>
    <x v="9"/>
    <n v="0"/>
    <x v="1"/>
    <x v="4"/>
    <n v="0"/>
    <x v="2"/>
    <n v="0.74"/>
  </r>
  <r>
    <s v="FL250427"/>
    <s v="Bradley Weaver"/>
    <x v="1"/>
    <n v="35"/>
    <x v="5"/>
    <x v="1"/>
    <x v="8"/>
    <n v="7"/>
    <x v="3"/>
    <x v="0"/>
    <n v="3.5"/>
    <x v="1"/>
    <n v="0.71"/>
  </r>
  <r>
    <s v="FL250428"/>
    <s v="Sarah Hall"/>
    <x v="0"/>
    <n v="29"/>
    <x v="3"/>
    <x v="3"/>
    <x v="6"/>
    <n v="6"/>
    <x v="3"/>
    <x v="5"/>
    <n v="4.8"/>
    <x v="0"/>
    <n v="0.83"/>
  </r>
  <r>
    <s v="FL250429"/>
    <s v="Diana Walton"/>
    <x v="0"/>
    <n v="36"/>
    <x v="0"/>
    <x v="0"/>
    <x v="9"/>
    <n v="2"/>
    <x v="1"/>
    <x v="4"/>
    <m/>
    <x v="2"/>
    <n v="0.63"/>
  </r>
  <r>
    <s v="FL250430"/>
    <s v="Donna Davis"/>
    <x v="0"/>
    <n v="44"/>
    <x v="14"/>
    <x v="1"/>
    <x v="4"/>
    <n v="13"/>
    <x v="2"/>
    <x v="5"/>
    <n v="4.8"/>
    <x v="2"/>
    <n v="0.84"/>
  </r>
  <r>
    <s v="FL250431"/>
    <s v="Christopher Mcclain"/>
    <x v="1"/>
    <n v="44"/>
    <x v="17"/>
    <x v="14"/>
    <x v="3"/>
    <n v="7"/>
    <x v="3"/>
    <x v="5"/>
    <n v="1.4"/>
    <x v="0"/>
    <n v="0.93"/>
  </r>
  <r>
    <s v="FL250432"/>
    <s v="Paul Williamson"/>
    <x v="1"/>
    <n v="40"/>
    <x v="10"/>
    <x v="8"/>
    <x v="4"/>
    <n v="7"/>
    <x v="3"/>
    <x v="0"/>
    <n v="1.1000000000000001"/>
    <x v="1"/>
    <m/>
  </r>
  <r>
    <s v="FL250433"/>
    <s v="Barbara Brown"/>
    <x v="0"/>
    <n v="53"/>
    <x v="3"/>
    <x v="3"/>
    <x v="9"/>
    <n v="15"/>
    <x v="2"/>
    <x v="1"/>
    <n v="3.3"/>
    <x v="1"/>
    <n v="0.93"/>
  </r>
  <r>
    <s v="FL250434"/>
    <s v="Kimberly Allen"/>
    <x v="0"/>
    <n v="35"/>
    <x v="2"/>
    <x v="2"/>
    <x v="0"/>
    <m/>
    <x v="1"/>
    <x v="3"/>
    <n v="4.5999999999999996"/>
    <x v="2"/>
    <n v="0.97"/>
  </r>
  <r>
    <s v="FL250435"/>
    <s v="Elizabeth Edwards"/>
    <x v="0"/>
    <n v="27"/>
    <x v="8"/>
    <x v="6"/>
    <x v="9"/>
    <n v="5"/>
    <x v="1"/>
    <x v="4"/>
    <n v="2.8"/>
    <x v="1"/>
    <n v="0.92"/>
  </r>
  <r>
    <s v="FL250436"/>
    <s v="Anthony Downs"/>
    <x v="1"/>
    <n v="34"/>
    <x v="1"/>
    <x v="1"/>
    <x v="8"/>
    <m/>
    <x v="1"/>
    <x v="1"/>
    <n v="5"/>
    <x v="1"/>
    <n v="0.92"/>
  </r>
  <r>
    <s v="FL250437"/>
    <s v="Jack Ortega"/>
    <x v="1"/>
    <n v="24"/>
    <x v="10"/>
    <x v="8"/>
    <x v="7"/>
    <n v="10"/>
    <x v="3"/>
    <x v="4"/>
    <n v="4.7"/>
    <x v="0"/>
    <n v="0.68"/>
  </r>
  <r>
    <s v="FL250438"/>
    <s v="Marvin Moore"/>
    <x v="1"/>
    <n v="57"/>
    <x v="5"/>
    <x v="1"/>
    <x v="6"/>
    <n v="6"/>
    <x v="3"/>
    <x v="0"/>
    <n v="3.5"/>
    <x v="0"/>
    <n v="0.95"/>
  </r>
  <r>
    <s v="FL250439"/>
    <s v="Tony French"/>
    <x v="1"/>
    <n v="28"/>
    <x v="12"/>
    <x v="10"/>
    <x v="6"/>
    <n v="8"/>
    <x v="3"/>
    <x v="0"/>
    <n v="4.3"/>
    <x v="0"/>
    <n v="0.76"/>
  </r>
  <r>
    <s v="FL250440"/>
    <s v="Stacy Hudson"/>
    <x v="0"/>
    <n v="26"/>
    <x v="0"/>
    <x v="0"/>
    <x v="8"/>
    <n v="4"/>
    <x v="1"/>
    <x v="0"/>
    <n v="3.3"/>
    <x v="1"/>
    <n v="0.66"/>
  </r>
  <r>
    <s v="FL250441"/>
    <s v="Scott Washington"/>
    <x v="1"/>
    <n v="34"/>
    <x v="8"/>
    <x v="6"/>
    <x v="1"/>
    <n v="3"/>
    <x v="1"/>
    <x v="4"/>
    <m/>
    <x v="0"/>
    <n v="0.73"/>
  </r>
  <r>
    <s v="FL250442"/>
    <s v="Timothy Wright"/>
    <x v="1"/>
    <n v="43"/>
    <x v="9"/>
    <x v="7"/>
    <x v="4"/>
    <m/>
    <x v="1"/>
    <x v="6"/>
    <n v="2.8"/>
    <x v="2"/>
    <n v="0.99"/>
  </r>
  <r>
    <s v="FL250443"/>
    <s v="Joseph Gonzalez"/>
    <x v="1"/>
    <n v="31"/>
    <x v="18"/>
    <x v="15"/>
    <x v="2"/>
    <n v="11"/>
    <x v="2"/>
    <x v="5"/>
    <n v="2.7"/>
    <x v="1"/>
    <n v="0.94"/>
  </r>
  <r>
    <s v="FL250444"/>
    <s v="Andrea Perez"/>
    <x v="0"/>
    <n v="34"/>
    <x v="18"/>
    <x v="15"/>
    <x v="0"/>
    <n v="17"/>
    <x v="4"/>
    <x v="1"/>
    <n v="0"/>
    <x v="0"/>
    <n v="0.84"/>
  </r>
  <r>
    <s v="FL250445"/>
    <s v="Angel Collins"/>
    <x v="0"/>
    <n v="32"/>
    <x v="13"/>
    <x v="11"/>
    <x v="7"/>
    <n v="16"/>
    <x v="4"/>
    <x v="6"/>
    <m/>
    <x v="1"/>
    <n v="0.92"/>
  </r>
  <r>
    <s v="FL250446"/>
    <s v="Daniel Terry"/>
    <x v="1"/>
    <n v="24"/>
    <x v="16"/>
    <x v="13"/>
    <x v="8"/>
    <n v="11"/>
    <x v="2"/>
    <x v="4"/>
    <n v="4.3"/>
    <x v="1"/>
    <m/>
  </r>
  <r>
    <s v="FL250447"/>
    <s v="Steven Whitaker"/>
    <x v="1"/>
    <n v="35"/>
    <x v="7"/>
    <x v="1"/>
    <x v="4"/>
    <n v="3"/>
    <x v="1"/>
    <x v="1"/>
    <m/>
    <x v="0"/>
    <n v="0.9"/>
  </r>
  <r>
    <s v="FL250448"/>
    <s v="Denise Neal"/>
    <x v="0"/>
    <n v="22"/>
    <x v="1"/>
    <x v="1"/>
    <x v="1"/>
    <m/>
    <x v="1"/>
    <x v="6"/>
    <m/>
    <x v="0"/>
    <n v="0.73"/>
  </r>
  <r>
    <s v="FL250449"/>
    <s v="Amanda Jacobs"/>
    <x v="0"/>
    <n v="55"/>
    <x v="16"/>
    <x v="13"/>
    <x v="4"/>
    <n v="3"/>
    <x v="1"/>
    <x v="0"/>
    <m/>
    <x v="1"/>
    <n v="0.73"/>
  </r>
  <r>
    <s v="FL250450"/>
    <s v="Karen Mercer"/>
    <x v="0"/>
    <n v="54"/>
    <x v="8"/>
    <x v="6"/>
    <x v="9"/>
    <n v="1"/>
    <x v="1"/>
    <x v="3"/>
    <n v="2.9"/>
    <x v="1"/>
    <n v="0.78"/>
  </r>
  <r>
    <s v="FL250451"/>
    <s v="Lindsay Hudson"/>
    <x v="0"/>
    <n v="36"/>
    <x v="3"/>
    <x v="3"/>
    <x v="7"/>
    <n v="1"/>
    <x v="1"/>
    <x v="3"/>
    <n v="0"/>
    <x v="1"/>
    <n v="0.63"/>
  </r>
  <r>
    <s v="FL250452"/>
    <s v="Stephanie Armstrong"/>
    <x v="0"/>
    <n v="36"/>
    <x v="3"/>
    <x v="3"/>
    <x v="4"/>
    <n v="35"/>
    <x v="0"/>
    <x v="1"/>
    <n v="1.3"/>
    <x v="2"/>
    <n v="0.64"/>
  </r>
  <r>
    <s v="FL250453"/>
    <s v="Jessica Campbell"/>
    <x v="0"/>
    <n v="25"/>
    <x v="8"/>
    <x v="6"/>
    <x v="3"/>
    <n v="12"/>
    <x v="2"/>
    <x v="4"/>
    <n v="0"/>
    <x v="1"/>
    <m/>
  </r>
  <r>
    <s v="FL250454"/>
    <s v="Curtis Maxwell"/>
    <x v="1"/>
    <n v="46"/>
    <x v="4"/>
    <x v="4"/>
    <x v="4"/>
    <n v="8"/>
    <x v="3"/>
    <x v="6"/>
    <n v="4.8"/>
    <x v="1"/>
    <n v="0.86"/>
  </r>
  <r>
    <s v="FL250455"/>
    <s v="Adam Kelly"/>
    <x v="1"/>
    <n v="41"/>
    <x v="8"/>
    <x v="6"/>
    <x v="9"/>
    <n v="13"/>
    <x v="2"/>
    <x v="2"/>
    <n v="2.4"/>
    <x v="0"/>
    <m/>
  </r>
  <r>
    <s v="FL250456"/>
    <s v="Julie Becker"/>
    <x v="0"/>
    <n v="21"/>
    <x v="13"/>
    <x v="11"/>
    <x v="1"/>
    <n v="0"/>
    <x v="1"/>
    <x v="0"/>
    <n v="4.7"/>
    <x v="0"/>
    <n v="0.96"/>
  </r>
  <r>
    <s v="FL250457"/>
    <s v="James Moore"/>
    <x v="1"/>
    <n v="29"/>
    <x v="5"/>
    <x v="1"/>
    <x v="2"/>
    <n v="11"/>
    <x v="2"/>
    <x v="4"/>
    <n v="2"/>
    <x v="0"/>
    <m/>
  </r>
  <r>
    <s v="FL250458"/>
    <s v="Danielle Barrera"/>
    <x v="0"/>
    <n v="44"/>
    <x v="5"/>
    <x v="1"/>
    <x v="1"/>
    <n v="19"/>
    <x v="4"/>
    <x v="1"/>
    <n v="2.2000000000000002"/>
    <x v="0"/>
    <n v="0.77"/>
  </r>
  <r>
    <s v="FL250459"/>
    <s v="David Sanchez"/>
    <x v="1"/>
    <n v="40"/>
    <x v="14"/>
    <x v="1"/>
    <x v="9"/>
    <n v="30"/>
    <x v="0"/>
    <x v="0"/>
    <n v="2.1"/>
    <x v="1"/>
    <m/>
  </r>
  <r>
    <s v="FL250460"/>
    <s v="Tiffany Bowman"/>
    <x v="0"/>
    <n v="27"/>
    <x v="16"/>
    <x v="13"/>
    <x v="5"/>
    <n v="8"/>
    <x v="3"/>
    <x v="3"/>
    <n v="1.7"/>
    <x v="0"/>
    <n v="0.65"/>
  </r>
  <r>
    <s v="FL250461"/>
    <s v="Jesus Quinn"/>
    <x v="1"/>
    <n v="53"/>
    <x v="15"/>
    <x v="12"/>
    <x v="1"/>
    <n v="0"/>
    <x v="1"/>
    <x v="5"/>
    <n v="5"/>
    <x v="1"/>
    <n v="0.62"/>
  </r>
  <r>
    <s v="FL250462"/>
    <s v="Danny Morris"/>
    <x v="1"/>
    <n v="20"/>
    <x v="6"/>
    <x v="5"/>
    <x v="5"/>
    <n v="7"/>
    <x v="3"/>
    <x v="1"/>
    <n v="2.9"/>
    <x v="0"/>
    <n v="0.81"/>
  </r>
  <r>
    <s v="FL250463"/>
    <s v="Nicole York"/>
    <x v="0"/>
    <m/>
    <x v="9"/>
    <x v="7"/>
    <x v="8"/>
    <n v="11"/>
    <x v="2"/>
    <x v="1"/>
    <n v="4.0999999999999996"/>
    <x v="1"/>
    <n v="0.62"/>
  </r>
  <r>
    <s v="FL250464"/>
    <s v="John Mathis"/>
    <x v="1"/>
    <n v="26"/>
    <x v="19"/>
    <x v="6"/>
    <x v="3"/>
    <m/>
    <x v="1"/>
    <x v="2"/>
    <n v="4.9000000000000004"/>
    <x v="0"/>
    <n v="0.87"/>
  </r>
  <r>
    <s v="FL250465"/>
    <s v="Julie Barnett"/>
    <x v="0"/>
    <n v="49"/>
    <x v="11"/>
    <x v="9"/>
    <x v="9"/>
    <n v="14"/>
    <x v="2"/>
    <x v="0"/>
    <n v="2.5"/>
    <x v="0"/>
    <m/>
  </r>
  <r>
    <s v="FL250466"/>
    <s v="Jasmine Harris"/>
    <x v="0"/>
    <n v="20"/>
    <x v="16"/>
    <x v="13"/>
    <x v="5"/>
    <n v="11"/>
    <x v="2"/>
    <x v="3"/>
    <n v="0"/>
    <x v="1"/>
    <n v="0.76"/>
  </r>
  <r>
    <s v="FL250467"/>
    <s v="Mary Henry"/>
    <x v="0"/>
    <n v="39"/>
    <x v="18"/>
    <x v="15"/>
    <x v="0"/>
    <n v="31"/>
    <x v="0"/>
    <x v="0"/>
    <n v="2.8"/>
    <x v="2"/>
    <n v="0.7"/>
  </r>
  <r>
    <s v="FL250468"/>
    <s v="Judith Riggs"/>
    <x v="0"/>
    <n v="41"/>
    <x v="18"/>
    <x v="15"/>
    <x v="9"/>
    <n v="16"/>
    <x v="4"/>
    <x v="0"/>
    <n v="3.8"/>
    <x v="1"/>
    <n v="0.71"/>
  </r>
  <r>
    <s v="FL250469"/>
    <s v="Justin Ruiz"/>
    <x v="1"/>
    <n v="59"/>
    <x v="14"/>
    <x v="1"/>
    <x v="1"/>
    <n v="6"/>
    <x v="3"/>
    <x v="3"/>
    <n v="4.3"/>
    <x v="1"/>
    <n v="0.83"/>
  </r>
  <r>
    <s v="FL250470"/>
    <s v="Jennifer Sullivan"/>
    <x v="0"/>
    <n v="45"/>
    <x v="1"/>
    <x v="1"/>
    <x v="0"/>
    <n v="21"/>
    <x v="0"/>
    <x v="2"/>
    <n v="0"/>
    <x v="0"/>
    <n v="0.78"/>
  </r>
  <r>
    <s v="FL250471"/>
    <s v="Jesse Moran"/>
    <x v="1"/>
    <n v="22"/>
    <x v="4"/>
    <x v="4"/>
    <x v="7"/>
    <n v="13"/>
    <x v="2"/>
    <x v="2"/>
    <n v="1.3"/>
    <x v="1"/>
    <n v="0.78"/>
  </r>
  <r>
    <s v="FL250472"/>
    <s v="Monica Smith"/>
    <x v="0"/>
    <n v="48"/>
    <x v="10"/>
    <x v="8"/>
    <x v="1"/>
    <m/>
    <x v="1"/>
    <x v="1"/>
    <n v="4.7"/>
    <x v="1"/>
    <n v="0.6"/>
  </r>
  <r>
    <s v="FL250473"/>
    <s v="Ian May"/>
    <x v="1"/>
    <n v="36"/>
    <x v="15"/>
    <x v="12"/>
    <x v="0"/>
    <n v="11"/>
    <x v="2"/>
    <x v="2"/>
    <n v="1.3"/>
    <x v="1"/>
    <m/>
  </r>
  <r>
    <s v="FL250474"/>
    <s v="Kayla Meyers"/>
    <x v="0"/>
    <n v="57"/>
    <x v="18"/>
    <x v="15"/>
    <x v="0"/>
    <n v="0"/>
    <x v="1"/>
    <x v="4"/>
    <n v="4.8"/>
    <x v="1"/>
    <m/>
  </r>
  <r>
    <s v="FL250475"/>
    <s v="John Bray"/>
    <x v="1"/>
    <n v="42"/>
    <x v="5"/>
    <x v="1"/>
    <x v="6"/>
    <n v="2"/>
    <x v="1"/>
    <x v="3"/>
    <n v="1.3"/>
    <x v="0"/>
    <n v="0.94"/>
  </r>
  <r>
    <s v="FL250476"/>
    <s v="James Smith"/>
    <x v="1"/>
    <n v="31"/>
    <x v="4"/>
    <x v="4"/>
    <x v="7"/>
    <n v="12"/>
    <x v="2"/>
    <x v="1"/>
    <n v="4.3"/>
    <x v="0"/>
    <n v="0.62"/>
  </r>
  <r>
    <s v="FL250477"/>
    <s v="Mark Duncan"/>
    <x v="1"/>
    <n v="52"/>
    <x v="20"/>
    <x v="6"/>
    <x v="7"/>
    <n v="13"/>
    <x v="2"/>
    <x v="3"/>
    <m/>
    <x v="1"/>
    <m/>
  </r>
  <r>
    <s v="FL250478"/>
    <s v="Matthew Gay"/>
    <x v="1"/>
    <n v="56"/>
    <x v="3"/>
    <x v="3"/>
    <x v="8"/>
    <n v="6"/>
    <x v="3"/>
    <x v="3"/>
    <n v="0"/>
    <x v="1"/>
    <m/>
  </r>
  <r>
    <s v="FL250479"/>
    <s v="Cheryl Freeman"/>
    <x v="0"/>
    <n v="24"/>
    <x v="3"/>
    <x v="3"/>
    <x v="8"/>
    <n v="10"/>
    <x v="3"/>
    <x v="3"/>
    <n v="0"/>
    <x v="1"/>
    <n v="0.84"/>
  </r>
  <r>
    <s v="FL250480"/>
    <s v="Patrick Welch"/>
    <x v="1"/>
    <n v="48"/>
    <x v="14"/>
    <x v="1"/>
    <x v="8"/>
    <n v="2"/>
    <x v="1"/>
    <x v="4"/>
    <n v="2.7"/>
    <x v="1"/>
    <m/>
  </r>
  <r>
    <s v="FL250481"/>
    <s v="Craig Levine"/>
    <x v="1"/>
    <n v="59"/>
    <x v="15"/>
    <x v="12"/>
    <x v="7"/>
    <n v="4"/>
    <x v="1"/>
    <x v="2"/>
    <n v="2.4"/>
    <x v="0"/>
    <n v="0.65"/>
  </r>
  <r>
    <s v="FL250482"/>
    <s v="Richard Harvey"/>
    <x v="1"/>
    <m/>
    <x v="7"/>
    <x v="1"/>
    <x v="3"/>
    <n v="11"/>
    <x v="2"/>
    <x v="2"/>
    <n v="1.9"/>
    <x v="1"/>
    <n v="0.94"/>
  </r>
  <r>
    <s v="FL250483"/>
    <s v="Bonnie Sherman"/>
    <x v="0"/>
    <m/>
    <x v="3"/>
    <x v="3"/>
    <x v="1"/>
    <n v="14"/>
    <x v="2"/>
    <x v="6"/>
    <n v="3.6"/>
    <x v="0"/>
    <n v="0.69"/>
  </r>
  <r>
    <s v="FL250484"/>
    <s v="Keith Trujillo"/>
    <x v="1"/>
    <n v="25"/>
    <x v="3"/>
    <x v="3"/>
    <x v="1"/>
    <n v="10"/>
    <x v="3"/>
    <x v="1"/>
    <n v="2.9"/>
    <x v="1"/>
    <n v="0.65"/>
  </r>
  <r>
    <s v="FL250485"/>
    <s v="Corey Combs"/>
    <x v="1"/>
    <n v="31"/>
    <x v="16"/>
    <x v="13"/>
    <x v="1"/>
    <n v="3"/>
    <x v="1"/>
    <x v="4"/>
    <n v="2.8"/>
    <x v="0"/>
    <n v="0.6"/>
  </r>
  <r>
    <s v="FL250486"/>
    <s v="Antonio King"/>
    <x v="1"/>
    <n v="40"/>
    <x v="6"/>
    <x v="5"/>
    <x v="8"/>
    <n v="3"/>
    <x v="1"/>
    <x v="4"/>
    <n v="2.6"/>
    <x v="0"/>
    <m/>
  </r>
  <r>
    <s v="FL250487"/>
    <s v="Amy Lee"/>
    <x v="0"/>
    <n v="48"/>
    <x v="13"/>
    <x v="11"/>
    <x v="0"/>
    <n v="33"/>
    <x v="0"/>
    <x v="0"/>
    <n v="2.7"/>
    <x v="2"/>
    <n v="0.62"/>
  </r>
  <r>
    <s v="FL250488"/>
    <s v="Jennifer Rogers"/>
    <x v="0"/>
    <n v="24"/>
    <x v="17"/>
    <x v="14"/>
    <x v="1"/>
    <n v="24"/>
    <x v="0"/>
    <x v="3"/>
    <n v="1.1000000000000001"/>
    <x v="1"/>
    <m/>
  </r>
  <r>
    <s v="FL250489"/>
    <s v="Jeffrey Cooper"/>
    <x v="1"/>
    <n v="33"/>
    <x v="4"/>
    <x v="4"/>
    <x v="3"/>
    <n v="3"/>
    <x v="1"/>
    <x v="3"/>
    <n v="0"/>
    <x v="1"/>
    <n v="0.89"/>
  </r>
  <r>
    <s v="FL250490"/>
    <s v="Allison Williams"/>
    <x v="0"/>
    <n v="43"/>
    <x v="11"/>
    <x v="9"/>
    <x v="6"/>
    <n v="11"/>
    <x v="2"/>
    <x v="2"/>
    <n v="0"/>
    <x v="1"/>
    <n v="0.89"/>
  </r>
  <r>
    <s v="FL250491"/>
    <s v="Raymond Sherman"/>
    <x v="1"/>
    <n v="43"/>
    <x v="20"/>
    <x v="6"/>
    <x v="0"/>
    <n v="7"/>
    <x v="3"/>
    <x v="1"/>
    <n v="0"/>
    <x v="1"/>
    <n v="1"/>
  </r>
  <r>
    <s v="FL250492"/>
    <s v="Jennifer Nelson"/>
    <x v="0"/>
    <n v="33"/>
    <x v="1"/>
    <x v="1"/>
    <x v="3"/>
    <n v="1"/>
    <x v="1"/>
    <x v="5"/>
    <n v="4.5999999999999996"/>
    <x v="1"/>
    <m/>
  </r>
  <r>
    <s v="FL250493"/>
    <s v="Jennifer Carter"/>
    <x v="0"/>
    <n v="49"/>
    <x v="13"/>
    <x v="11"/>
    <x v="6"/>
    <n v="0"/>
    <x v="1"/>
    <x v="2"/>
    <n v="1.5"/>
    <x v="2"/>
    <n v="0.6"/>
  </r>
  <r>
    <s v="FL250494"/>
    <s v="Todd Williams"/>
    <x v="1"/>
    <n v="55"/>
    <x v="14"/>
    <x v="1"/>
    <x v="6"/>
    <n v="1"/>
    <x v="1"/>
    <x v="2"/>
    <n v="2"/>
    <x v="0"/>
    <n v="0.85"/>
  </r>
  <r>
    <s v="FL250495"/>
    <s v="Emily Horton"/>
    <x v="0"/>
    <n v="33"/>
    <x v="12"/>
    <x v="10"/>
    <x v="2"/>
    <n v="1"/>
    <x v="1"/>
    <x v="2"/>
    <n v="1.6"/>
    <x v="2"/>
    <n v="0.83"/>
  </r>
  <r>
    <s v="FL250496"/>
    <s v="Lance Lester"/>
    <x v="1"/>
    <n v="32"/>
    <x v="8"/>
    <x v="6"/>
    <x v="4"/>
    <n v="7"/>
    <x v="3"/>
    <x v="3"/>
    <n v="1.5"/>
    <x v="0"/>
    <n v="0.96"/>
  </r>
  <r>
    <s v="FL250497"/>
    <s v="Kevin Flores"/>
    <x v="1"/>
    <n v="58"/>
    <x v="3"/>
    <x v="3"/>
    <x v="0"/>
    <m/>
    <x v="1"/>
    <x v="5"/>
    <n v="4.0999999999999996"/>
    <x v="1"/>
    <n v="0.83"/>
  </r>
  <r>
    <s v="FL250498"/>
    <s v="Aaron Stewart"/>
    <x v="1"/>
    <n v="49"/>
    <x v="4"/>
    <x v="4"/>
    <x v="5"/>
    <n v="6"/>
    <x v="3"/>
    <x v="0"/>
    <n v="4.7"/>
    <x v="0"/>
    <n v="0.6"/>
  </r>
  <r>
    <s v="FL250499"/>
    <s v="Robin Moore"/>
    <x v="0"/>
    <n v="22"/>
    <x v="13"/>
    <x v="11"/>
    <x v="6"/>
    <n v="5"/>
    <x v="1"/>
    <x v="0"/>
    <n v="3.6"/>
    <x v="1"/>
    <n v="0.78"/>
  </r>
  <r>
    <s v="FL250500"/>
    <s v="Suzanne Ingram"/>
    <x v="0"/>
    <n v="40"/>
    <x v="16"/>
    <x v="13"/>
    <x v="3"/>
    <n v="17"/>
    <x v="4"/>
    <x v="6"/>
    <n v="1.8"/>
    <x v="1"/>
    <n v="0.9"/>
  </r>
  <r>
    <s v="FL250501"/>
    <s v="Jacob Mclaughlin"/>
    <x v="1"/>
    <n v="55"/>
    <x v="1"/>
    <x v="1"/>
    <x v="5"/>
    <n v="0"/>
    <x v="1"/>
    <x v="0"/>
    <n v="2.1"/>
    <x v="0"/>
    <n v="0.66"/>
  </r>
  <r>
    <s v="FL250502"/>
    <s v="Michael Nunez"/>
    <x v="1"/>
    <n v="32"/>
    <x v="19"/>
    <x v="6"/>
    <x v="8"/>
    <n v="8"/>
    <x v="3"/>
    <x v="1"/>
    <m/>
    <x v="1"/>
    <n v="0.7"/>
  </r>
  <r>
    <s v="FL250503"/>
    <s v="Isabel Brown"/>
    <x v="0"/>
    <n v="21"/>
    <x v="9"/>
    <x v="7"/>
    <x v="6"/>
    <n v="13"/>
    <x v="2"/>
    <x v="3"/>
    <n v="4.2"/>
    <x v="1"/>
    <n v="0.79"/>
  </r>
  <r>
    <s v="FL250504"/>
    <s v="Michael Stein"/>
    <x v="1"/>
    <n v="23"/>
    <x v="12"/>
    <x v="10"/>
    <x v="0"/>
    <n v="15"/>
    <x v="2"/>
    <x v="2"/>
    <n v="0"/>
    <x v="0"/>
    <n v="0.64"/>
  </r>
  <r>
    <s v="FL250505"/>
    <s v="Robert Stone"/>
    <x v="1"/>
    <n v="21"/>
    <x v="7"/>
    <x v="1"/>
    <x v="1"/>
    <n v="2"/>
    <x v="1"/>
    <x v="3"/>
    <n v="1"/>
    <x v="0"/>
    <n v="0.81"/>
  </r>
  <r>
    <s v="FL250506"/>
    <s v="Dillon Henry"/>
    <x v="1"/>
    <n v="31"/>
    <x v="8"/>
    <x v="6"/>
    <x v="4"/>
    <n v="9"/>
    <x v="3"/>
    <x v="4"/>
    <n v="4.4000000000000004"/>
    <x v="0"/>
    <n v="0.83"/>
  </r>
  <r>
    <s v="FL250507"/>
    <s v="James Todd"/>
    <x v="1"/>
    <n v="21"/>
    <x v="19"/>
    <x v="6"/>
    <x v="0"/>
    <n v="3"/>
    <x v="1"/>
    <x v="2"/>
    <n v="4"/>
    <x v="0"/>
    <n v="0.91"/>
  </r>
  <r>
    <s v="FL250508"/>
    <s v="Clifford Moore"/>
    <x v="1"/>
    <n v="33"/>
    <x v="7"/>
    <x v="1"/>
    <x v="7"/>
    <n v="15"/>
    <x v="2"/>
    <x v="1"/>
    <n v="3.1"/>
    <x v="0"/>
    <m/>
  </r>
  <r>
    <s v="FL250509"/>
    <s v="John Rios"/>
    <x v="1"/>
    <n v="57"/>
    <x v="11"/>
    <x v="9"/>
    <x v="3"/>
    <n v="21"/>
    <x v="0"/>
    <x v="4"/>
    <n v="1.1000000000000001"/>
    <x v="1"/>
    <n v="0.77"/>
  </r>
  <r>
    <s v="FL250510"/>
    <s v="Anthony Gaines"/>
    <x v="1"/>
    <n v="52"/>
    <x v="5"/>
    <x v="1"/>
    <x v="8"/>
    <n v="2"/>
    <x v="1"/>
    <x v="4"/>
    <n v="0"/>
    <x v="0"/>
    <n v="0.94"/>
  </r>
  <r>
    <s v="FL250511"/>
    <s v="Kristi Brown"/>
    <x v="0"/>
    <n v="21"/>
    <x v="2"/>
    <x v="2"/>
    <x v="3"/>
    <n v="21"/>
    <x v="0"/>
    <x v="6"/>
    <n v="3.8"/>
    <x v="1"/>
    <n v="0.61"/>
  </r>
  <r>
    <s v="FL250512"/>
    <s v="Ashley Odonnell"/>
    <x v="0"/>
    <n v="36"/>
    <x v="8"/>
    <x v="6"/>
    <x v="6"/>
    <n v="0"/>
    <x v="1"/>
    <x v="0"/>
    <n v="1.7"/>
    <x v="0"/>
    <n v="0.68"/>
  </r>
  <r>
    <s v="FL250513"/>
    <s v="Ronald Elliott"/>
    <x v="1"/>
    <n v="33"/>
    <x v="20"/>
    <x v="6"/>
    <x v="9"/>
    <n v="4"/>
    <x v="1"/>
    <x v="1"/>
    <n v="2.2000000000000002"/>
    <x v="0"/>
    <n v="0.7"/>
  </r>
  <r>
    <s v="FL250514"/>
    <s v="Lorraine Lowery"/>
    <x v="0"/>
    <n v="54"/>
    <x v="7"/>
    <x v="1"/>
    <x v="5"/>
    <n v="23"/>
    <x v="0"/>
    <x v="2"/>
    <n v="4.0999999999999996"/>
    <x v="1"/>
    <n v="0.71"/>
  </r>
  <r>
    <s v="FL250515"/>
    <s v="Victoria Chapman"/>
    <x v="0"/>
    <n v="33"/>
    <x v="5"/>
    <x v="1"/>
    <x v="0"/>
    <n v="25"/>
    <x v="0"/>
    <x v="0"/>
    <n v="3.8"/>
    <x v="0"/>
    <m/>
  </r>
  <r>
    <s v="FL250516"/>
    <s v="Heather Davis"/>
    <x v="0"/>
    <n v="36"/>
    <x v="9"/>
    <x v="7"/>
    <x v="9"/>
    <n v="10"/>
    <x v="3"/>
    <x v="3"/>
    <n v="0"/>
    <x v="1"/>
    <n v="0.78"/>
  </r>
  <r>
    <s v="FL250517"/>
    <s v="Diana Chase"/>
    <x v="0"/>
    <n v="36"/>
    <x v="6"/>
    <x v="5"/>
    <x v="4"/>
    <n v="18"/>
    <x v="4"/>
    <x v="1"/>
    <n v="0"/>
    <x v="0"/>
    <n v="0.75"/>
  </r>
  <r>
    <s v="FL250518"/>
    <s v="Danielle Adkins"/>
    <x v="0"/>
    <n v="43"/>
    <x v="18"/>
    <x v="15"/>
    <x v="4"/>
    <n v="1"/>
    <x v="1"/>
    <x v="6"/>
    <n v="4.2"/>
    <x v="1"/>
    <n v="0.91"/>
  </r>
  <r>
    <s v="FL250519"/>
    <s v="Kenneth Arias"/>
    <x v="1"/>
    <n v="52"/>
    <x v="7"/>
    <x v="1"/>
    <x v="5"/>
    <n v="12"/>
    <x v="2"/>
    <x v="4"/>
    <n v="2.2000000000000002"/>
    <x v="1"/>
    <n v="0.66"/>
  </r>
  <r>
    <s v="FL250520"/>
    <s v="Victoria Owen"/>
    <x v="0"/>
    <n v="28"/>
    <x v="4"/>
    <x v="4"/>
    <x v="7"/>
    <m/>
    <x v="1"/>
    <x v="4"/>
    <n v="1.5"/>
    <x v="1"/>
    <n v="0.68"/>
  </r>
  <r>
    <s v="FL250521"/>
    <s v="Christina King"/>
    <x v="0"/>
    <n v="47"/>
    <x v="18"/>
    <x v="15"/>
    <x v="7"/>
    <n v="5"/>
    <x v="1"/>
    <x v="0"/>
    <n v="0"/>
    <x v="0"/>
    <m/>
  </r>
  <r>
    <s v="FL250522"/>
    <s v="Samantha King"/>
    <x v="0"/>
    <n v="30"/>
    <x v="15"/>
    <x v="12"/>
    <x v="8"/>
    <n v="28"/>
    <x v="0"/>
    <x v="0"/>
    <n v="4.0999999999999996"/>
    <x v="0"/>
    <n v="0.62"/>
  </r>
  <r>
    <s v="FL250523"/>
    <s v="Scott Compton"/>
    <x v="1"/>
    <n v="36"/>
    <x v="16"/>
    <x v="13"/>
    <x v="0"/>
    <n v="0"/>
    <x v="1"/>
    <x v="2"/>
    <n v="2.6"/>
    <x v="0"/>
    <n v="0.9"/>
  </r>
  <r>
    <s v="FL250524"/>
    <s v="Monica West"/>
    <x v="0"/>
    <n v="45"/>
    <x v="5"/>
    <x v="1"/>
    <x v="6"/>
    <n v="14"/>
    <x v="2"/>
    <x v="0"/>
    <n v="2.4"/>
    <x v="0"/>
    <n v="0.96"/>
  </r>
  <r>
    <s v="FL250525"/>
    <s v="Theresa Stewart"/>
    <x v="0"/>
    <n v="51"/>
    <x v="5"/>
    <x v="1"/>
    <x v="0"/>
    <n v="15"/>
    <x v="2"/>
    <x v="1"/>
    <n v="1.4"/>
    <x v="1"/>
    <n v="0.6"/>
  </r>
  <r>
    <s v="FL250526"/>
    <s v="Steven Kim"/>
    <x v="1"/>
    <n v="46"/>
    <x v="6"/>
    <x v="5"/>
    <x v="1"/>
    <n v="9"/>
    <x v="3"/>
    <x v="5"/>
    <n v="4.5999999999999996"/>
    <x v="1"/>
    <n v="0.62"/>
  </r>
  <r>
    <s v="FL250527"/>
    <s v="Kristi Knight"/>
    <x v="0"/>
    <n v="38"/>
    <x v="0"/>
    <x v="0"/>
    <x v="5"/>
    <n v="9"/>
    <x v="3"/>
    <x v="2"/>
    <n v="4.9000000000000004"/>
    <x v="0"/>
    <n v="0.74"/>
  </r>
  <r>
    <s v="FL250528"/>
    <s v="Jason Bryant"/>
    <x v="1"/>
    <n v="26"/>
    <x v="20"/>
    <x v="6"/>
    <x v="0"/>
    <n v="22"/>
    <x v="0"/>
    <x v="6"/>
    <n v="0"/>
    <x v="1"/>
    <m/>
  </r>
  <r>
    <s v="FL250529"/>
    <s v="Maureen Keith"/>
    <x v="0"/>
    <n v="40"/>
    <x v="7"/>
    <x v="1"/>
    <x v="8"/>
    <n v="0"/>
    <x v="1"/>
    <x v="3"/>
    <n v="3.5"/>
    <x v="2"/>
    <n v="0.98"/>
  </r>
  <r>
    <s v="FL250530"/>
    <s v="Shawn Hogan"/>
    <x v="1"/>
    <n v="37"/>
    <x v="2"/>
    <x v="2"/>
    <x v="9"/>
    <n v="1"/>
    <x v="1"/>
    <x v="5"/>
    <n v="1.7"/>
    <x v="1"/>
    <n v="0.63"/>
  </r>
  <r>
    <s v="FL250531"/>
    <s v="William Davis"/>
    <x v="1"/>
    <n v="28"/>
    <x v="14"/>
    <x v="1"/>
    <x v="0"/>
    <n v="5"/>
    <x v="1"/>
    <x v="1"/>
    <n v="0"/>
    <x v="1"/>
    <n v="0.96"/>
  </r>
  <r>
    <s v="FL250532"/>
    <s v="Stacy Bailey"/>
    <x v="0"/>
    <n v="48"/>
    <x v="10"/>
    <x v="8"/>
    <x v="1"/>
    <n v="0"/>
    <x v="1"/>
    <x v="6"/>
    <n v="0"/>
    <x v="0"/>
    <n v="0.88"/>
  </r>
  <r>
    <s v="FL250533"/>
    <s v="Thomas Dixon"/>
    <x v="1"/>
    <n v="22"/>
    <x v="10"/>
    <x v="8"/>
    <x v="4"/>
    <n v="0"/>
    <x v="1"/>
    <x v="5"/>
    <n v="4.5999999999999996"/>
    <x v="0"/>
    <m/>
  </r>
  <r>
    <s v="FL250534"/>
    <s v="Maria Hall"/>
    <x v="0"/>
    <n v="41"/>
    <x v="2"/>
    <x v="2"/>
    <x v="3"/>
    <n v="19"/>
    <x v="4"/>
    <x v="2"/>
    <n v="1.1000000000000001"/>
    <x v="1"/>
    <n v="0.73"/>
  </r>
  <r>
    <s v="FL250535"/>
    <s v="Tony Lee"/>
    <x v="1"/>
    <n v="38"/>
    <x v="5"/>
    <x v="1"/>
    <x v="2"/>
    <n v="2"/>
    <x v="1"/>
    <x v="5"/>
    <n v="4.2"/>
    <x v="0"/>
    <n v="0.88"/>
  </r>
  <r>
    <s v="FL250536"/>
    <s v="Catherine Mccoy"/>
    <x v="0"/>
    <n v="31"/>
    <x v="17"/>
    <x v="14"/>
    <x v="6"/>
    <n v="0"/>
    <x v="1"/>
    <x v="5"/>
    <n v="0"/>
    <x v="0"/>
    <n v="0.91"/>
  </r>
  <r>
    <s v="FL250537"/>
    <s v="Maria Benitez"/>
    <x v="0"/>
    <n v="30"/>
    <x v="18"/>
    <x v="15"/>
    <x v="1"/>
    <n v="2"/>
    <x v="1"/>
    <x v="3"/>
    <n v="3.9"/>
    <x v="0"/>
    <n v="0.65"/>
  </r>
  <r>
    <s v="FL250538"/>
    <s v="Joshua Chambers"/>
    <x v="1"/>
    <n v="51"/>
    <x v="19"/>
    <x v="6"/>
    <x v="6"/>
    <n v="0"/>
    <x v="1"/>
    <x v="6"/>
    <n v="3.4"/>
    <x v="1"/>
    <n v="0.9"/>
  </r>
  <r>
    <s v="FL250539"/>
    <s v="Janice Daniels"/>
    <x v="0"/>
    <n v="21"/>
    <x v="2"/>
    <x v="2"/>
    <x v="8"/>
    <n v="1"/>
    <x v="1"/>
    <x v="6"/>
    <n v="2.6"/>
    <x v="0"/>
    <n v="0.72"/>
  </r>
  <r>
    <s v="FL250540"/>
    <s v="Carla Wood"/>
    <x v="0"/>
    <n v="20"/>
    <x v="0"/>
    <x v="0"/>
    <x v="8"/>
    <n v="3"/>
    <x v="1"/>
    <x v="2"/>
    <n v="2.2999999999999998"/>
    <x v="1"/>
    <n v="0.72"/>
  </r>
  <r>
    <s v="FL250541"/>
    <s v="Kenneth Vasquez"/>
    <x v="1"/>
    <n v="30"/>
    <x v="9"/>
    <x v="7"/>
    <x v="0"/>
    <m/>
    <x v="1"/>
    <x v="3"/>
    <n v="4.8"/>
    <x v="0"/>
    <m/>
  </r>
  <r>
    <s v="FL250542"/>
    <s v="Kevin Smith"/>
    <x v="1"/>
    <n v="41"/>
    <x v="18"/>
    <x v="15"/>
    <x v="5"/>
    <n v="1"/>
    <x v="1"/>
    <x v="2"/>
    <n v="4.5"/>
    <x v="0"/>
    <n v="0.68"/>
  </r>
  <r>
    <s v="FL250543"/>
    <s v="Thomas Kim"/>
    <x v="1"/>
    <n v="22"/>
    <x v="20"/>
    <x v="6"/>
    <x v="0"/>
    <n v="0"/>
    <x v="1"/>
    <x v="3"/>
    <n v="0"/>
    <x v="0"/>
    <n v="0.87"/>
  </r>
  <r>
    <s v="FL250544"/>
    <s v="Sean Park"/>
    <x v="1"/>
    <n v="45"/>
    <x v="19"/>
    <x v="6"/>
    <x v="7"/>
    <n v="7"/>
    <x v="3"/>
    <x v="4"/>
    <n v="0"/>
    <x v="0"/>
    <n v="0.72"/>
  </r>
  <r>
    <s v="FL250545"/>
    <s v="Judith Poole"/>
    <x v="0"/>
    <n v="22"/>
    <x v="1"/>
    <x v="1"/>
    <x v="5"/>
    <n v="1"/>
    <x v="1"/>
    <x v="2"/>
    <n v="1.1000000000000001"/>
    <x v="0"/>
    <n v="0.76"/>
  </r>
  <r>
    <s v="FL250546"/>
    <s v="Melanie Baird"/>
    <x v="0"/>
    <n v="20"/>
    <x v="6"/>
    <x v="5"/>
    <x v="1"/>
    <n v="21"/>
    <x v="0"/>
    <x v="0"/>
    <n v="0"/>
    <x v="0"/>
    <n v="0.63"/>
  </r>
  <r>
    <s v="FL250547"/>
    <s v="Erika Mitchell"/>
    <x v="0"/>
    <n v="20"/>
    <x v="14"/>
    <x v="1"/>
    <x v="5"/>
    <n v="1"/>
    <x v="1"/>
    <x v="2"/>
    <m/>
    <x v="1"/>
    <n v="0.91"/>
  </r>
  <r>
    <s v="FL250548"/>
    <s v="Ricky Martinez"/>
    <x v="1"/>
    <n v="21"/>
    <x v="7"/>
    <x v="1"/>
    <x v="4"/>
    <n v="15"/>
    <x v="2"/>
    <x v="0"/>
    <m/>
    <x v="0"/>
    <n v="0.73"/>
  </r>
  <r>
    <s v="FL250549"/>
    <s v="John Christian"/>
    <x v="1"/>
    <n v="22"/>
    <x v="3"/>
    <x v="3"/>
    <x v="7"/>
    <n v="33"/>
    <x v="0"/>
    <x v="2"/>
    <n v="0"/>
    <x v="0"/>
    <n v="0.63"/>
  </r>
  <r>
    <s v="FL250550"/>
    <s v="Nancy Smith"/>
    <x v="0"/>
    <n v="28"/>
    <x v="7"/>
    <x v="1"/>
    <x v="8"/>
    <n v="39"/>
    <x v="0"/>
    <x v="6"/>
    <m/>
    <x v="1"/>
    <n v="0.79"/>
  </r>
  <r>
    <s v="FL250551"/>
    <s v="Cassandra Stephens"/>
    <x v="0"/>
    <n v="59"/>
    <x v="8"/>
    <x v="6"/>
    <x v="4"/>
    <n v="21"/>
    <x v="0"/>
    <x v="6"/>
    <n v="4.0999999999999996"/>
    <x v="0"/>
    <n v="0.75"/>
  </r>
  <r>
    <s v="FL250552"/>
    <s v="Janet Donovan"/>
    <x v="0"/>
    <n v="28"/>
    <x v="15"/>
    <x v="12"/>
    <x v="3"/>
    <n v="5"/>
    <x v="1"/>
    <x v="5"/>
    <n v="0"/>
    <x v="0"/>
    <n v="0.7"/>
  </r>
  <r>
    <s v="FL250553"/>
    <s v="Kristina Williams"/>
    <x v="0"/>
    <n v="40"/>
    <x v="1"/>
    <x v="1"/>
    <x v="8"/>
    <n v="11"/>
    <x v="2"/>
    <x v="0"/>
    <n v="1.2"/>
    <x v="2"/>
    <n v="0.87"/>
  </r>
  <r>
    <s v="FL250554"/>
    <s v="Wayne Barnes"/>
    <x v="1"/>
    <n v="57"/>
    <x v="0"/>
    <x v="0"/>
    <x v="0"/>
    <n v="0"/>
    <x v="1"/>
    <x v="3"/>
    <n v="1.6"/>
    <x v="0"/>
    <m/>
  </r>
  <r>
    <s v="FL250555"/>
    <s v="James Hinton"/>
    <x v="1"/>
    <n v="47"/>
    <x v="6"/>
    <x v="5"/>
    <x v="8"/>
    <n v="15"/>
    <x v="2"/>
    <x v="1"/>
    <n v="3.9"/>
    <x v="1"/>
    <n v="0.88"/>
  </r>
  <r>
    <s v="FL250556"/>
    <s v="David Spence"/>
    <x v="1"/>
    <n v="48"/>
    <x v="12"/>
    <x v="10"/>
    <x v="7"/>
    <n v="22"/>
    <x v="0"/>
    <x v="2"/>
    <n v="0"/>
    <x v="1"/>
    <m/>
  </r>
  <r>
    <s v="FL250557"/>
    <s v="Tyler Cooper"/>
    <x v="1"/>
    <n v="28"/>
    <x v="5"/>
    <x v="1"/>
    <x v="6"/>
    <n v="3"/>
    <x v="1"/>
    <x v="6"/>
    <n v="4.7"/>
    <x v="0"/>
    <n v="0.93"/>
  </r>
  <r>
    <s v="FL250558"/>
    <s v="Sean Martinez"/>
    <x v="1"/>
    <n v="41"/>
    <x v="6"/>
    <x v="5"/>
    <x v="2"/>
    <n v="11"/>
    <x v="2"/>
    <x v="5"/>
    <n v="3.8"/>
    <x v="1"/>
    <m/>
  </r>
  <r>
    <s v="FL250559"/>
    <s v="Janet Barron"/>
    <x v="0"/>
    <n v="57"/>
    <x v="17"/>
    <x v="14"/>
    <x v="7"/>
    <n v="5"/>
    <x v="1"/>
    <x v="0"/>
    <n v="3.5"/>
    <x v="0"/>
    <n v="0.74"/>
  </r>
  <r>
    <s v="FL250560"/>
    <s v="Rodney Wilson"/>
    <x v="1"/>
    <n v="60"/>
    <x v="8"/>
    <x v="6"/>
    <x v="2"/>
    <n v="3"/>
    <x v="1"/>
    <x v="4"/>
    <n v="4"/>
    <x v="2"/>
    <n v="0.7"/>
  </r>
  <r>
    <s v="FL250561"/>
    <s v="Kimberly Fitzgerald"/>
    <x v="0"/>
    <n v="48"/>
    <x v="16"/>
    <x v="13"/>
    <x v="2"/>
    <n v="1"/>
    <x v="1"/>
    <x v="3"/>
    <n v="1.6"/>
    <x v="1"/>
    <n v="0.67"/>
  </r>
  <r>
    <s v="FL250562"/>
    <s v="Nicole Davis"/>
    <x v="0"/>
    <n v="24"/>
    <x v="15"/>
    <x v="12"/>
    <x v="7"/>
    <n v="1"/>
    <x v="1"/>
    <x v="2"/>
    <n v="3"/>
    <x v="0"/>
    <n v="0.86"/>
  </r>
  <r>
    <s v="FL250563"/>
    <s v="Elizabeth Hayes"/>
    <x v="0"/>
    <n v="33"/>
    <x v="19"/>
    <x v="6"/>
    <x v="8"/>
    <n v="2"/>
    <x v="1"/>
    <x v="1"/>
    <n v="5"/>
    <x v="1"/>
    <n v="0.69"/>
  </r>
  <r>
    <s v="FL250564"/>
    <s v="Kathy Faulkner"/>
    <x v="0"/>
    <n v="20"/>
    <x v="6"/>
    <x v="5"/>
    <x v="2"/>
    <n v="3"/>
    <x v="1"/>
    <x v="3"/>
    <n v="4.8"/>
    <x v="1"/>
    <n v="0.68"/>
  </r>
  <r>
    <s v="FL250565"/>
    <s v="John Gonzales"/>
    <x v="1"/>
    <n v="59"/>
    <x v="7"/>
    <x v="1"/>
    <x v="8"/>
    <n v="11"/>
    <x v="2"/>
    <x v="1"/>
    <m/>
    <x v="0"/>
    <m/>
  </r>
  <r>
    <s v="FL250566"/>
    <s v="Shannon Luna"/>
    <x v="0"/>
    <n v="42"/>
    <x v="18"/>
    <x v="15"/>
    <x v="8"/>
    <m/>
    <x v="1"/>
    <x v="5"/>
    <n v="2.9"/>
    <x v="0"/>
    <n v="0.61"/>
  </r>
  <r>
    <s v="FL250567"/>
    <s v="Stephanie Burton"/>
    <x v="0"/>
    <n v="22"/>
    <x v="6"/>
    <x v="5"/>
    <x v="6"/>
    <n v="2"/>
    <x v="1"/>
    <x v="5"/>
    <n v="3"/>
    <x v="1"/>
    <n v="0.96"/>
  </r>
  <r>
    <s v="FL250568"/>
    <s v="Kevin Gonzales"/>
    <x v="1"/>
    <n v="41"/>
    <x v="14"/>
    <x v="1"/>
    <x v="7"/>
    <n v="20"/>
    <x v="4"/>
    <x v="1"/>
    <n v="3.5"/>
    <x v="1"/>
    <n v="0.68"/>
  </r>
  <r>
    <s v="FL250569"/>
    <s v="Dawn Hardy"/>
    <x v="0"/>
    <n v="25"/>
    <x v="8"/>
    <x v="6"/>
    <x v="3"/>
    <n v="11"/>
    <x v="2"/>
    <x v="2"/>
    <m/>
    <x v="1"/>
    <n v="0.75"/>
  </r>
  <r>
    <s v="FL250570"/>
    <s v="Margaret Perkins"/>
    <x v="0"/>
    <n v="38"/>
    <x v="14"/>
    <x v="1"/>
    <x v="6"/>
    <n v="0"/>
    <x v="1"/>
    <x v="2"/>
    <n v="4.7"/>
    <x v="0"/>
    <n v="0.69"/>
  </r>
  <r>
    <s v="FL250571"/>
    <s v="Amanda Vargas"/>
    <x v="0"/>
    <n v="43"/>
    <x v="5"/>
    <x v="1"/>
    <x v="8"/>
    <n v="20"/>
    <x v="4"/>
    <x v="5"/>
    <n v="2.9"/>
    <x v="0"/>
    <n v="0.78"/>
  </r>
  <r>
    <s v="FL250572"/>
    <s v="Tonya Gonzalez"/>
    <x v="0"/>
    <n v="54"/>
    <x v="19"/>
    <x v="6"/>
    <x v="4"/>
    <n v="3"/>
    <x v="1"/>
    <x v="4"/>
    <n v="4.4000000000000004"/>
    <x v="1"/>
    <m/>
  </r>
  <r>
    <s v="FL250573"/>
    <s v="Elizabeth Bowman"/>
    <x v="0"/>
    <n v="31"/>
    <x v="4"/>
    <x v="4"/>
    <x v="1"/>
    <n v="28"/>
    <x v="0"/>
    <x v="2"/>
    <n v="2.2999999999999998"/>
    <x v="0"/>
    <n v="0.98"/>
  </r>
  <r>
    <s v="FL250574"/>
    <s v="Ariana Pittman"/>
    <x v="0"/>
    <n v="56"/>
    <x v="19"/>
    <x v="6"/>
    <x v="4"/>
    <n v="0"/>
    <x v="1"/>
    <x v="3"/>
    <n v="3.7"/>
    <x v="2"/>
    <n v="0.83"/>
  </r>
  <r>
    <s v="FL250575"/>
    <s v="Antonio Johnson"/>
    <x v="1"/>
    <n v="46"/>
    <x v="19"/>
    <x v="6"/>
    <x v="2"/>
    <n v="4"/>
    <x v="1"/>
    <x v="5"/>
    <n v="1.8"/>
    <x v="1"/>
    <n v="0.91"/>
  </r>
  <r>
    <s v="FL250576"/>
    <s v="Justin Lang"/>
    <x v="1"/>
    <n v="60"/>
    <x v="16"/>
    <x v="13"/>
    <x v="4"/>
    <n v="9"/>
    <x v="3"/>
    <x v="0"/>
    <n v="0"/>
    <x v="1"/>
    <n v="0.96"/>
  </r>
  <r>
    <s v="FL250577"/>
    <s v="Kelli Ramirez"/>
    <x v="0"/>
    <n v="28"/>
    <x v="12"/>
    <x v="10"/>
    <x v="2"/>
    <n v="2"/>
    <x v="1"/>
    <x v="1"/>
    <m/>
    <x v="1"/>
    <n v="0.85"/>
  </r>
  <r>
    <s v="FL250578"/>
    <s v="Deborah Torres"/>
    <x v="0"/>
    <n v="43"/>
    <x v="4"/>
    <x v="4"/>
    <x v="3"/>
    <n v="1"/>
    <x v="1"/>
    <x v="3"/>
    <n v="2.7"/>
    <x v="0"/>
    <n v="0.72"/>
  </r>
  <r>
    <s v="FL250579"/>
    <s v="Joseph Horn"/>
    <x v="1"/>
    <n v="41"/>
    <x v="15"/>
    <x v="12"/>
    <x v="3"/>
    <n v="2"/>
    <x v="1"/>
    <x v="6"/>
    <n v="4.7"/>
    <x v="2"/>
    <n v="0.69"/>
  </r>
  <r>
    <s v="FL250580"/>
    <s v="Christopher Robinson"/>
    <x v="1"/>
    <n v="41"/>
    <x v="7"/>
    <x v="1"/>
    <x v="8"/>
    <n v="16"/>
    <x v="4"/>
    <x v="6"/>
    <n v="3.1"/>
    <x v="0"/>
    <n v="0.9"/>
  </r>
  <r>
    <s v="FL250581"/>
    <s v="Sandra Mccormick"/>
    <x v="0"/>
    <n v="40"/>
    <x v="7"/>
    <x v="1"/>
    <x v="1"/>
    <n v="22"/>
    <x v="0"/>
    <x v="6"/>
    <n v="2.2999999999999998"/>
    <x v="0"/>
    <n v="0.92"/>
  </r>
  <r>
    <s v="FL250582"/>
    <s v="Michael Holland"/>
    <x v="1"/>
    <n v="45"/>
    <x v="2"/>
    <x v="2"/>
    <x v="8"/>
    <n v="22"/>
    <x v="0"/>
    <x v="6"/>
    <n v="1.3"/>
    <x v="1"/>
    <n v="0.91"/>
  </r>
  <r>
    <s v="FL250583"/>
    <s v="Kenneth Stevenson"/>
    <x v="1"/>
    <n v="47"/>
    <x v="16"/>
    <x v="13"/>
    <x v="8"/>
    <n v="5"/>
    <x v="1"/>
    <x v="1"/>
    <n v="2.9"/>
    <x v="1"/>
    <m/>
  </r>
  <r>
    <s v="FL250584"/>
    <s v="Timothy Bennett"/>
    <x v="1"/>
    <n v="34"/>
    <x v="10"/>
    <x v="8"/>
    <x v="5"/>
    <n v="2"/>
    <x v="1"/>
    <x v="2"/>
    <n v="3.3"/>
    <x v="0"/>
    <n v="0.98"/>
  </r>
  <r>
    <s v="FL250585"/>
    <s v="Gregory Randall"/>
    <x v="1"/>
    <n v="47"/>
    <x v="5"/>
    <x v="1"/>
    <x v="6"/>
    <n v="24"/>
    <x v="0"/>
    <x v="6"/>
    <n v="4.2"/>
    <x v="2"/>
    <n v="0.82"/>
  </r>
  <r>
    <s v="FL250586"/>
    <s v="Charles Martinez"/>
    <x v="1"/>
    <n v="32"/>
    <x v="19"/>
    <x v="6"/>
    <x v="6"/>
    <n v="37"/>
    <x v="0"/>
    <x v="2"/>
    <n v="1.3"/>
    <x v="1"/>
    <n v="0.83"/>
  </r>
  <r>
    <s v="FL250587"/>
    <s v="James Hall"/>
    <x v="1"/>
    <n v="28"/>
    <x v="7"/>
    <x v="1"/>
    <x v="1"/>
    <n v="3"/>
    <x v="1"/>
    <x v="0"/>
    <n v="4.4000000000000004"/>
    <x v="1"/>
    <m/>
  </r>
  <r>
    <s v="FL250588"/>
    <s v="Michael Garcia"/>
    <x v="1"/>
    <n v="32"/>
    <x v="1"/>
    <x v="1"/>
    <x v="8"/>
    <n v="18"/>
    <x v="4"/>
    <x v="0"/>
    <n v="3.4"/>
    <x v="1"/>
    <m/>
  </r>
  <r>
    <s v="FL250589"/>
    <s v="Michele Duran"/>
    <x v="0"/>
    <n v="49"/>
    <x v="3"/>
    <x v="3"/>
    <x v="4"/>
    <n v="6"/>
    <x v="3"/>
    <x v="0"/>
    <n v="3.4"/>
    <x v="1"/>
    <n v="0.85"/>
  </r>
  <r>
    <s v="FL250590"/>
    <s v="Jessica Gray"/>
    <x v="0"/>
    <n v="36"/>
    <x v="8"/>
    <x v="6"/>
    <x v="1"/>
    <n v="17"/>
    <x v="4"/>
    <x v="6"/>
    <n v="3.2"/>
    <x v="2"/>
    <m/>
  </r>
  <r>
    <s v="FL250591"/>
    <s v="Keith Shaffer"/>
    <x v="1"/>
    <n v="59"/>
    <x v="19"/>
    <x v="6"/>
    <x v="0"/>
    <n v="39"/>
    <x v="0"/>
    <x v="6"/>
    <n v="3.6"/>
    <x v="0"/>
    <n v="0.63"/>
  </r>
  <r>
    <s v="FL250592"/>
    <s v="Jessica Decker"/>
    <x v="0"/>
    <n v="52"/>
    <x v="14"/>
    <x v="1"/>
    <x v="7"/>
    <n v="15"/>
    <x v="2"/>
    <x v="6"/>
    <n v="0"/>
    <x v="0"/>
    <m/>
  </r>
  <r>
    <s v="FL250593"/>
    <s v="Brianna Pittman"/>
    <x v="0"/>
    <n v="24"/>
    <x v="18"/>
    <x v="15"/>
    <x v="0"/>
    <n v="13"/>
    <x v="2"/>
    <x v="2"/>
    <n v="1.8"/>
    <x v="1"/>
    <n v="0.86"/>
  </r>
  <r>
    <s v="FL250594"/>
    <s v="Kimberly Hunter"/>
    <x v="0"/>
    <n v="26"/>
    <x v="1"/>
    <x v="1"/>
    <x v="2"/>
    <n v="17"/>
    <x v="4"/>
    <x v="4"/>
    <n v="2.5"/>
    <x v="1"/>
    <n v="0.6"/>
  </r>
  <r>
    <s v="FL250595"/>
    <s v="Daniel Martin"/>
    <x v="1"/>
    <n v="55"/>
    <x v="14"/>
    <x v="1"/>
    <x v="7"/>
    <n v="1"/>
    <x v="1"/>
    <x v="2"/>
    <n v="2"/>
    <x v="1"/>
    <n v="0.88"/>
  </r>
  <r>
    <s v="FL250596"/>
    <s v="Rachel Smith"/>
    <x v="0"/>
    <n v="56"/>
    <x v="0"/>
    <x v="0"/>
    <x v="1"/>
    <n v="16"/>
    <x v="4"/>
    <x v="2"/>
    <n v="0"/>
    <x v="0"/>
    <n v="0.7"/>
  </r>
  <r>
    <s v="FL250597"/>
    <s v="Michael Miller"/>
    <x v="1"/>
    <n v="36"/>
    <x v="15"/>
    <x v="12"/>
    <x v="2"/>
    <n v="9"/>
    <x v="3"/>
    <x v="1"/>
    <n v="1.3"/>
    <x v="1"/>
    <n v="0.77"/>
  </r>
  <r>
    <s v="FL250598"/>
    <s v="Willie Clark"/>
    <x v="1"/>
    <n v="48"/>
    <x v="8"/>
    <x v="6"/>
    <x v="3"/>
    <n v="20"/>
    <x v="4"/>
    <x v="4"/>
    <n v="0"/>
    <x v="0"/>
    <n v="0.8"/>
  </r>
  <r>
    <s v="FL250599"/>
    <s v="Jeremy Hernandez"/>
    <x v="1"/>
    <n v="55"/>
    <x v="16"/>
    <x v="13"/>
    <x v="9"/>
    <n v="29"/>
    <x v="0"/>
    <x v="2"/>
    <n v="3.6"/>
    <x v="1"/>
    <m/>
  </r>
  <r>
    <s v="FL250600"/>
    <s v="Tina Shelton"/>
    <x v="0"/>
    <n v="56"/>
    <x v="20"/>
    <x v="6"/>
    <x v="8"/>
    <n v="21"/>
    <x v="0"/>
    <x v="5"/>
    <n v="1.3"/>
    <x v="2"/>
    <n v="0.87"/>
  </r>
  <r>
    <s v="FL250601"/>
    <s v="Pamela Larson"/>
    <x v="0"/>
    <n v="28"/>
    <x v="14"/>
    <x v="1"/>
    <x v="0"/>
    <n v="28"/>
    <x v="0"/>
    <x v="4"/>
    <n v="2.7"/>
    <x v="1"/>
    <n v="0.93"/>
  </r>
  <r>
    <s v="FL250602"/>
    <s v="Ryan Ewing"/>
    <x v="1"/>
    <n v="60"/>
    <x v="5"/>
    <x v="1"/>
    <x v="4"/>
    <n v="5"/>
    <x v="1"/>
    <x v="0"/>
    <n v="1.5"/>
    <x v="2"/>
    <n v="0.88"/>
  </r>
  <r>
    <s v="FL250603"/>
    <s v="Mark Cochran"/>
    <x v="1"/>
    <n v="34"/>
    <x v="12"/>
    <x v="10"/>
    <x v="0"/>
    <n v="0"/>
    <x v="1"/>
    <x v="6"/>
    <n v="0"/>
    <x v="0"/>
    <n v="1"/>
  </r>
  <r>
    <s v="FL250604"/>
    <s v="Martha Carson"/>
    <x v="0"/>
    <n v="38"/>
    <x v="4"/>
    <x v="4"/>
    <x v="4"/>
    <n v="27"/>
    <x v="0"/>
    <x v="2"/>
    <n v="0"/>
    <x v="1"/>
    <n v="0.61"/>
  </r>
  <r>
    <s v="FL250605"/>
    <s v="Heather Jackson"/>
    <x v="0"/>
    <n v="51"/>
    <x v="12"/>
    <x v="10"/>
    <x v="3"/>
    <n v="26"/>
    <x v="0"/>
    <x v="0"/>
    <n v="3"/>
    <x v="0"/>
    <n v="0.79"/>
  </r>
  <r>
    <s v="FL250606"/>
    <s v="Megan Young"/>
    <x v="0"/>
    <n v="21"/>
    <x v="9"/>
    <x v="7"/>
    <x v="1"/>
    <n v="19"/>
    <x v="4"/>
    <x v="3"/>
    <n v="1.2"/>
    <x v="2"/>
    <n v="0.73"/>
  </r>
  <r>
    <s v="FL250607"/>
    <s v="Thomas Davis"/>
    <x v="1"/>
    <n v="35"/>
    <x v="0"/>
    <x v="0"/>
    <x v="6"/>
    <n v="24"/>
    <x v="0"/>
    <x v="5"/>
    <n v="1.3"/>
    <x v="1"/>
    <n v="0.64"/>
  </r>
  <r>
    <s v="FL250608"/>
    <s v="Thomas Mooney"/>
    <x v="1"/>
    <n v="27"/>
    <x v="11"/>
    <x v="9"/>
    <x v="3"/>
    <n v="7"/>
    <x v="3"/>
    <x v="0"/>
    <m/>
    <x v="1"/>
    <m/>
  </r>
  <r>
    <s v="FL250609"/>
    <s v="Susan Smith"/>
    <x v="0"/>
    <n v="42"/>
    <x v="6"/>
    <x v="5"/>
    <x v="1"/>
    <n v="13"/>
    <x v="2"/>
    <x v="1"/>
    <n v="3.8"/>
    <x v="0"/>
    <n v="0.93"/>
  </r>
  <r>
    <s v="FL250610"/>
    <s v="Brianna Orr"/>
    <x v="0"/>
    <n v="52"/>
    <x v="14"/>
    <x v="1"/>
    <x v="0"/>
    <n v="2"/>
    <x v="1"/>
    <x v="3"/>
    <n v="3.8"/>
    <x v="0"/>
    <n v="0.68"/>
  </r>
  <r>
    <s v="FL250611"/>
    <s v="Dustin Smith"/>
    <x v="1"/>
    <n v="53"/>
    <x v="12"/>
    <x v="10"/>
    <x v="3"/>
    <n v="37"/>
    <x v="0"/>
    <x v="2"/>
    <n v="4.7"/>
    <x v="1"/>
    <n v="0.62"/>
  </r>
  <r>
    <s v="FL250612"/>
    <s v="Sarah White"/>
    <x v="0"/>
    <n v="54"/>
    <x v="0"/>
    <x v="0"/>
    <x v="1"/>
    <n v="1"/>
    <x v="1"/>
    <x v="2"/>
    <n v="1.1000000000000001"/>
    <x v="0"/>
    <m/>
  </r>
  <r>
    <s v="FL250613"/>
    <s v="Michael Davis"/>
    <x v="1"/>
    <n v="51"/>
    <x v="9"/>
    <x v="7"/>
    <x v="2"/>
    <n v="5"/>
    <x v="1"/>
    <x v="1"/>
    <n v="4.2"/>
    <x v="1"/>
    <n v="0.82"/>
  </r>
  <r>
    <s v="FL250614"/>
    <s v="Jennifer Phillips"/>
    <x v="0"/>
    <n v="30"/>
    <x v="12"/>
    <x v="10"/>
    <x v="3"/>
    <n v="1"/>
    <x v="1"/>
    <x v="5"/>
    <n v="0"/>
    <x v="0"/>
    <m/>
  </r>
  <r>
    <s v="FL250615"/>
    <s v="Dana Sanders"/>
    <x v="0"/>
    <n v="45"/>
    <x v="3"/>
    <x v="3"/>
    <x v="9"/>
    <n v="2"/>
    <x v="1"/>
    <x v="4"/>
    <n v="0"/>
    <x v="2"/>
    <n v="0.85"/>
  </r>
  <r>
    <s v="FL250616"/>
    <s v="Daniel Quinn"/>
    <x v="1"/>
    <n v="57"/>
    <x v="4"/>
    <x v="4"/>
    <x v="2"/>
    <m/>
    <x v="1"/>
    <x v="0"/>
    <n v="2.4"/>
    <x v="1"/>
    <n v="0.78"/>
  </r>
  <r>
    <s v="FL250617"/>
    <s v="Matthew Steele"/>
    <x v="1"/>
    <n v="38"/>
    <x v="6"/>
    <x v="5"/>
    <x v="0"/>
    <n v="0"/>
    <x v="1"/>
    <x v="2"/>
    <n v="0"/>
    <x v="1"/>
    <n v="0.86"/>
  </r>
  <r>
    <s v="FL250618"/>
    <s v="Michele Taylor"/>
    <x v="0"/>
    <n v="42"/>
    <x v="13"/>
    <x v="11"/>
    <x v="8"/>
    <n v="0"/>
    <x v="1"/>
    <x v="2"/>
    <m/>
    <x v="0"/>
    <n v="0.88"/>
  </r>
  <r>
    <s v="FL250619"/>
    <s v="Ashley Hammond"/>
    <x v="0"/>
    <n v="30"/>
    <x v="17"/>
    <x v="14"/>
    <x v="8"/>
    <n v="41"/>
    <x v="0"/>
    <x v="3"/>
    <n v="3.3"/>
    <x v="2"/>
    <n v="0.68"/>
  </r>
  <r>
    <s v="FL250620"/>
    <s v="Nicole Taylor"/>
    <x v="0"/>
    <n v="43"/>
    <x v="1"/>
    <x v="1"/>
    <x v="3"/>
    <m/>
    <x v="1"/>
    <x v="0"/>
    <n v="1.4"/>
    <x v="1"/>
    <n v="0.97"/>
  </r>
  <r>
    <s v="FL250621"/>
    <s v="Casey Bush"/>
    <x v="1"/>
    <n v="22"/>
    <x v="16"/>
    <x v="13"/>
    <x v="6"/>
    <n v="23"/>
    <x v="0"/>
    <x v="4"/>
    <n v="1.7"/>
    <x v="0"/>
    <n v="0.91"/>
  </r>
  <r>
    <s v="FL250622"/>
    <s v="Samuel Patterson"/>
    <x v="1"/>
    <n v="57"/>
    <x v="19"/>
    <x v="6"/>
    <x v="9"/>
    <n v="0"/>
    <x v="1"/>
    <x v="3"/>
    <n v="4.8"/>
    <x v="0"/>
    <m/>
  </r>
  <r>
    <s v="FL250623"/>
    <s v="Craig Dennis"/>
    <x v="1"/>
    <n v="44"/>
    <x v="7"/>
    <x v="1"/>
    <x v="2"/>
    <n v="4"/>
    <x v="1"/>
    <x v="5"/>
    <n v="4.8"/>
    <x v="0"/>
    <n v="0.97"/>
  </r>
  <r>
    <s v="FL250624"/>
    <s v="Heidi Dixon"/>
    <x v="0"/>
    <n v="46"/>
    <x v="18"/>
    <x v="15"/>
    <x v="8"/>
    <n v="4"/>
    <x v="1"/>
    <x v="3"/>
    <n v="2"/>
    <x v="1"/>
    <n v="0.64"/>
  </r>
  <r>
    <s v="FL250625"/>
    <s v="David Bishop"/>
    <x v="1"/>
    <m/>
    <x v="20"/>
    <x v="6"/>
    <x v="0"/>
    <n v="13"/>
    <x v="2"/>
    <x v="1"/>
    <n v="2.8"/>
    <x v="0"/>
    <n v="0.87"/>
  </r>
  <r>
    <s v="FL250626"/>
    <s v="Laura Butler"/>
    <x v="0"/>
    <n v="34"/>
    <x v="1"/>
    <x v="1"/>
    <x v="5"/>
    <n v="2"/>
    <x v="1"/>
    <x v="0"/>
    <n v="0"/>
    <x v="0"/>
    <n v="0.86"/>
  </r>
  <r>
    <s v="FL250627"/>
    <s v="Denise Erickson"/>
    <x v="0"/>
    <n v="46"/>
    <x v="0"/>
    <x v="0"/>
    <x v="1"/>
    <n v="25"/>
    <x v="0"/>
    <x v="0"/>
    <n v="4.4000000000000004"/>
    <x v="1"/>
    <n v="0.97"/>
  </r>
  <r>
    <s v="FL250628"/>
    <s v="Nicole Austin"/>
    <x v="0"/>
    <n v="22"/>
    <x v="15"/>
    <x v="12"/>
    <x v="0"/>
    <n v="18"/>
    <x v="4"/>
    <x v="3"/>
    <n v="4.9000000000000004"/>
    <x v="0"/>
    <n v="0.73"/>
  </r>
  <r>
    <s v="FL250629"/>
    <s v="Summer Williams"/>
    <x v="0"/>
    <n v="23"/>
    <x v="17"/>
    <x v="14"/>
    <x v="4"/>
    <n v="24"/>
    <x v="0"/>
    <x v="4"/>
    <n v="2.2999999999999998"/>
    <x v="2"/>
    <n v="0.6"/>
  </r>
  <r>
    <s v="FL250630"/>
    <s v="Angela Blackwell"/>
    <x v="0"/>
    <n v="60"/>
    <x v="6"/>
    <x v="5"/>
    <x v="3"/>
    <n v="7"/>
    <x v="3"/>
    <x v="2"/>
    <n v="4.9000000000000004"/>
    <x v="1"/>
    <n v="0.66"/>
  </r>
  <r>
    <s v="FL250631"/>
    <s v="Thomas Wall"/>
    <x v="1"/>
    <n v="20"/>
    <x v="14"/>
    <x v="1"/>
    <x v="8"/>
    <n v="1"/>
    <x v="1"/>
    <x v="4"/>
    <n v="4.3"/>
    <x v="0"/>
    <n v="0.9"/>
  </r>
  <r>
    <s v="FL250632"/>
    <s v="Sarah Anderson"/>
    <x v="0"/>
    <n v="41"/>
    <x v="12"/>
    <x v="10"/>
    <x v="6"/>
    <n v="17"/>
    <x v="4"/>
    <x v="4"/>
    <n v="1.4"/>
    <x v="0"/>
    <m/>
  </r>
  <r>
    <s v="FL250633"/>
    <s v="Christian Lane"/>
    <x v="1"/>
    <n v="24"/>
    <x v="15"/>
    <x v="12"/>
    <x v="1"/>
    <n v="4"/>
    <x v="1"/>
    <x v="0"/>
    <m/>
    <x v="0"/>
    <m/>
  </r>
  <r>
    <s v="FL250634"/>
    <s v="Todd Casey"/>
    <x v="1"/>
    <n v="44"/>
    <x v="3"/>
    <x v="3"/>
    <x v="9"/>
    <n v="29"/>
    <x v="0"/>
    <x v="5"/>
    <n v="1.3"/>
    <x v="1"/>
    <n v="0.77"/>
  </r>
  <r>
    <s v="FL250635"/>
    <s v="David Martinez"/>
    <x v="1"/>
    <n v="52"/>
    <x v="18"/>
    <x v="15"/>
    <x v="6"/>
    <n v="2"/>
    <x v="1"/>
    <x v="4"/>
    <n v="2.2999999999999998"/>
    <x v="1"/>
    <n v="0.79"/>
  </r>
  <r>
    <s v="FL250636"/>
    <s v="Donald Salas"/>
    <x v="1"/>
    <n v="35"/>
    <x v="20"/>
    <x v="6"/>
    <x v="9"/>
    <n v="9"/>
    <x v="3"/>
    <x v="2"/>
    <n v="3.6"/>
    <x v="0"/>
    <n v="0.83"/>
  </r>
  <r>
    <s v="FL250637"/>
    <s v="Emma Hicks"/>
    <x v="0"/>
    <n v="24"/>
    <x v="3"/>
    <x v="3"/>
    <x v="8"/>
    <n v="10"/>
    <x v="3"/>
    <x v="1"/>
    <m/>
    <x v="0"/>
    <n v="0.64"/>
  </r>
  <r>
    <s v="FL250638"/>
    <s v="Alison Clark"/>
    <x v="0"/>
    <n v="46"/>
    <x v="1"/>
    <x v="1"/>
    <x v="7"/>
    <n v="20"/>
    <x v="4"/>
    <x v="0"/>
    <n v="1.3"/>
    <x v="0"/>
    <n v="0.8"/>
  </r>
  <r>
    <s v="FL250639"/>
    <s v="Andrew Barnes"/>
    <x v="1"/>
    <n v="57"/>
    <x v="19"/>
    <x v="6"/>
    <x v="1"/>
    <n v="9"/>
    <x v="3"/>
    <x v="3"/>
    <n v="1.1000000000000001"/>
    <x v="0"/>
    <n v="0.9"/>
  </r>
  <r>
    <s v="FL250640"/>
    <s v="Gina Snyder"/>
    <x v="0"/>
    <n v="49"/>
    <x v="19"/>
    <x v="6"/>
    <x v="3"/>
    <n v="12"/>
    <x v="2"/>
    <x v="1"/>
    <n v="0"/>
    <x v="0"/>
    <n v="0.94"/>
  </r>
  <r>
    <s v="FL250641"/>
    <s v="David Watson"/>
    <x v="1"/>
    <n v="41"/>
    <x v="9"/>
    <x v="7"/>
    <x v="4"/>
    <n v="3"/>
    <x v="1"/>
    <x v="2"/>
    <n v="1.8"/>
    <x v="0"/>
    <n v="0.7"/>
  </r>
  <r>
    <s v="FL250642"/>
    <s v="John Davis"/>
    <x v="1"/>
    <n v="22"/>
    <x v="19"/>
    <x v="6"/>
    <x v="9"/>
    <n v="13"/>
    <x v="2"/>
    <x v="6"/>
    <m/>
    <x v="1"/>
    <n v="0.75"/>
  </r>
  <r>
    <s v="FL250643"/>
    <s v="Joseph Thomas"/>
    <x v="1"/>
    <n v="50"/>
    <x v="1"/>
    <x v="1"/>
    <x v="0"/>
    <n v="4"/>
    <x v="1"/>
    <x v="4"/>
    <n v="3.3"/>
    <x v="1"/>
    <n v="0.69"/>
  </r>
  <r>
    <s v="FL250644"/>
    <s v="Dean Finley"/>
    <x v="1"/>
    <n v="57"/>
    <x v="2"/>
    <x v="2"/>
    <x v="2"/>
    <n v="9"/>
    <x v="3"/>
    <x v="3"/>
    <n v="4.2"/>
    <x v="0"/>
    <m/>
  </r>
  <r>
    <s v="FL250645"/>
    <s v="Ashley Kemp"/>
    <x v="0"/>
    <n v="47"/>
    <x v="19"/>
    <x v="6"/>
    <x v="4"/>
    <n v="14"/>
    <x v="2"/>
    <x v="1"/>
    <m/>
    <x v="1"/>
    <n v="0.79"/>
  </r>
  <r>
    <s v="FL250646"/>
    <s v="Kenneth Evans"/>
    <x v="1"/>
    <n v="24"/>
    <x v="17"/>
    <x v="14"/>
    <x v="5"/>
    <n v="37"/>
    <x v="0"/>
    <x v="0"/>
    <n v="3.8"/>
    <x v="1"/>
    <n v="0.71"/>
  </r>
  <r>
    <s v="FL250647"/>
    <s v="Brandon Newman"/>
    <x v="1"/>
    <m/>
    <x v="10"/>
    <x v="8"/>
    <x v="7"/>
    <n v="2"/>
    <x v="1"/>
    <x v="0"/>
    <n v="4.8"/>
    <x v="1"/>
    <n v="0.72"/>
  </r>
  <r>
    <s v="FL250648"/>
    <s v="Katie Hensley"/>
    <x v="0"/>
    <n v="50"/>
    <x v="2"/>
    <x v="2"/>
    <x v="8"/>
    <n v="11"/>
    <x v="2"/>
    <x v="0"/>
    <n v="4.3"/>
    <x v="0"/>
    <n v="0.93"/>
  </r>
  <r>
    <s v="FL250649"/>
    <s v="Joel Randolph"/>
    <x v="1"/>
    <n v="46"/>
    <x v="11"/>
    <x v="9"/>
    <x v="9"/>
    <n v="19"/>
    <x v="4"/>
    <x v="5"/>
    <n v="4.8"/>
    <x v="1"/>
    <n v="0.82"/>
  </r>
  <r>
    <s v="FL250650"/>
    <s v="Andrew Scott"/>
    <x v="1"/>
    <n v="51"/>
    <x v="1"/>
    <x v="1"/>
    <x v="7"/>
    <n v="9"/>
    <x v="3"/>
    <x v="2"/>
    <m/>
    <x v="0"/>
    <n v="0.6"/>
  </r>
  <r>
    <s v="FL250651"/>
    <s v="Zachary Ochoa"/>
    <x v="1"/>
    <n v="51"/>
    <x v="7"/>
    <x v="1"/>
    <x v="4"/>
    <n v="16"/>
    <x v="4"/>
    <x v="6"/>
    <n v="4"/>
    <x v="0"/>
    <n v="0.93"/>
  </r>
  <r>
    <s v="FL250652"/>
    <s v="John Arroyo"/>
    <x v="1"/>
    <n v="27"/>
    <x v="7"/>
    <x v="1"/>
    <x v="4"/>
    <n v="8"/>
    <x v="3"/>
    <x v="1"/>
    <m/>
    <x v="0"/>
    <m/>
  </r>
  <r>
    <s v="FL250653"/>
    <s v="Matthew Fernandez"/>
    <x v="1"/>
    <n v="42"/>
    <x v="20"/>
    <x v="6"/>
    <x v="3"/>
    <n v="34"/>
    <x v="0"/>
    <x v="3"/>
    <n v="0"/>
    <x v="0"/>
    <n v="0.74"/>
  </r>
  <r>
    <s v="FL250654"/>
    <s v="Benjamin Stark"/>
    <x v="1"/>
    <n v="25"/>
    <x v="2"/>
    <x v="2"/>
    <x v="6"/>
    <n v="5"/>
    <x v="1"/>
    <x v="2"/>
    <n v="2.2999999999999998"/>
    <x v="1"/>
    <n v="0.73"/>
  </r>
  <r>
    <s v="FL250655"/>
    <s v="Tammy Greer"/>
    <x v="0"/>
    <n v="32"/>
    <x v="2"/>
    <x v="2"/>
    <x v="5"/>
    <n v="14"/>
    <x v="2"/>
    <x v="4"/>
    <m/>
    <x v="0"/>
    <n v="0.96"/>
  </r>
  <r>
    <s v="FL250656"/>
    <s v="Cynthia Mckinney"/>
    <x v="0"/>
    <n v="59"/>
    <x v="14"/>
    <x v="1"/>
    <x v="2"/>
    <n v="17"/>
    <x v="4"/>
    <x v="3"/>
    <n v="3.8"/>
    <x v="2"/>
    <n v="0.66"/>
  </r>
  <r>
    <s v="FL250657"/>
    <s v="Wendy Rice"/>
    <x v="0"/>
    <n v="59"/>
    <x v="15"/>
    <x v="12"/>
    <x v="7"/>
    <n v="10"/>
    <x v="3"/>
    <x v="3"/>
    <n v="4"/>
    <x v="0"/>
    <n v="0.62"/>
  </r>
  <r>
    <s v="FL250658"/>
    <s v="Randy Bender"/>
    <x v="1"/>
    <n v="29"/>
    <x v="2"/>
    <x v="2"/>
    <x v="2"/>
    <n v="8"/>
    <x v="3"/>
    <x v="4"/>
    <n v="2.2000000000000002"/>
    <x v="1"/>
    <n v="0.85"/>
  </r>
  <r>
    <s v="FL250659"/>
    <s v="Richard Dominguez"/>
    <x v="1"/>
    <n v="58"/>
    <x v="18"/>
    <x v="15"/>
    <x v="4"/>
    <n v="1"/>
    <x v="1"/>
    <x v="0"/>
    <n v="4.3"/>
    <x v="0"/>
    <n v="0.66"/>
  </r>
  <r>
    <s v="FL250660"/>
    <s v="Melissa Maldonado"/>
    <x v="0"/>
    <n v="56"/>
    <x v="14"/>
    <x v="1"/>
    <x v="7"/>
    <n v="10"/>
    <x v="3"/>
    <x v="6"/>
    <n v="0"/>
    <x v="0"/>
    <n v="0.87"/>
  </r>
  <r>
    <s v="FL250661"/>
    <s v="Leah Harris"/>
    <x v="0"/>
    <n v="36"/>
    <x v="5"/>
    <x v="1"/>
    <x v="9"/>
    <n v="0"/>
    <x v="1"/>
    <x v="6"/>
    <n v="0"/>
    <x v="1"/>
    <n v="0.68"/>
  </r>
  <r>
    <s v="FL250662"/>
    <s v="Lynn French"/>
    <x v="0"/>
    <n v="52"/>
    <x v="14"/>
    <x v="1"/>
    <x v="6"/>
    <n v="4"/>
    <x v="1"/>
    <x v="0"/>
    <n v="4"/>
    <x v="1"/>
    <m/>
  </r>
  <r>
    <s v="FL250663"/>
    <s v="Angela Johnson"/>
    <x v="0"/>
    <n v="42"/>
    <x v="3"/>
    <x v="3"/>
    <x v="1"/>
    <n v="2"/>
    <x v="1"/>
    <x v="1"/>
    <m/>
    <x v="2"/>
    <m/>
  </r>
  <r>
    <s v="FL250664"/>
    <s v="Sarah Edwards"/>
    <x v="0"/>
    <n v="59"/>
    <x v="10"/>
    <x v="8"/>
    <x v="1"/>
    <n v="10"/>
    <x v="3"/>
    <x v="0"/>
    <n v="2"/>
    <x v="1"/>
    <n v="0.79"/>
  </r>
  <r>
    <s v="FL250665"/>
    <s v="Roy Collins"/>
    <x v="1"/>
    <n v="33"/>
    <x v="3"/>
    <x v="3"/>
    <x v="1"/>
    <n v="16"/>
    <x v="4"/>
    <x v="1"/>
    <n v="4.7"/>
    <x v="1"/>
    <n v="0.88"/>
  </r>
  <r>
    <s v="FL250666"/>
    <s v="Samantha Porter"/>
    <x v="0"/>
    <n v="55"/>
    <x v="14"/>
    <x v="1"/>
    <x v="3"/>
    <n v="27"/>
    <x v="0"/>
    <x v="1"/>
    <n v="3.6"/>
    <x v="1"/>
    <n v="0.81"/>
  </r>
  <r>
    <s v="FL250667"/>
    <s v="Juan Elliott"/>
    <x v="1"/>
    <n v="47"/>
    <x v="12"/>
    <x v="10"/>
    <x v="6"/>
    <n v="20"/>
    <x v="4"/>
    <x v="1"/>
    <n v="1.2"/>
    <x v="0"/>
    <m/>
  </r>
  <r>
    <s v="FL250668"/>
    <s v="Elizabeth Phillips"/>
    <x v="0"/>
    <n v="29"/>
    <x v="19"/>
    <x v="6"/>
    <x v="4"/>
    <n v="10"/>
    <x v="3"/>
    <x v="5"/>
    <n v="4.4000000000000004"/>
    <x v="1"/>
    <n v="0.67"/>
  </r>
  <r>
    <s v="FL250669"/>
    <s v="Laura Evans"/>
    <x v="0"/>
    <n v="30"/>
    <x v="7"/>
    <x v="1"/>
    <x v="8"/>
    <n v="0"/>
    <x v="1"/>
    <x v="0"/>
    <n v="1.4"/>
    <x v="1"/>
    <n v="0.62"/>
  </r>
  <r>
    <s v="FL250670"/>
    <s v="Amanda Mitchell"/>
    <x v="0"/>
    <n v="25"/>
    <x v="14"/>
    <x v="1"/>
    <x v="8"/>
    <n v="11"/>
    <x v="2"/>
    <x v="3"/>
    <n v="3.2"/>
    <x v="0"/>
    <n v="0.87"/>
  </r>
  <r>
    <s v="FL250671"/>
    <s v="Sandra Williams"/>
    <x v="0"/>
    <n v="28"/>
    <x v="16"/>
    <x v="13"/>
    <x v="7"/>
    <n v="1"/>
    <x v="1"/>
    <x v="5"/>
    <n v="3.8"/>
    <x v="1"/>
    <n v="0.98"/>
  </r>
  <r>
    <s v="FL250672"/>
    <s v="Eric Johnson"/>
    <x v="1"/>
    <n v="29"/>
    <x v="12"/>
    <x v="10"/>
    <x v="0"/>
    <n v="30"/>
    <x v="0"/>
    <x v="4"/>
    <n v="1.5"/>
    <x v="1"/>
    <n v="0.64"/>
  </r>
  <r>
    <s v="FL250673"/>
    <s v="Javier Hobbs"/>
    <x v="1"/>
    <n v="30"/>
    <x v="20"/>
    <x v="6"/>
    <x v="2"/>
    <n v="7"/>
    <x v="3"/>
    <x v="5"/>
    <n v="2.8"/>
    <x v="1"/>
    <n v="0.71"/>
  </r>
  <r>
    <s v="FL250674"/>
    <s v="Jacob Jones"/>
    <x v="1"/>
    <n v="47"/>
    <x v="16"/>
    <x v="13"/>
    <x v="4"/>
    <n v="0"/>
    <x v="1"/>
    <x v="1"/>
    <n v="2.7"/>
    <x v="0"/>
    <n v="0.96"/>
  </r>
  <r>
    <s v="FL250675"/>
    <s v="Zachary Murphy"/>
    <x v="1"/>
    <n v="34"/>
    <x v="1"/>
    <x v="1"/>
    <x v="0"/>
    <n v="21"/>
    <x v="0"/>
    <x v="3"/>
    <n v="3.9"/>
    <x v="2"/>
    <m/>
  </r>
  <r>
    <s v="FL250676"/>
    <s v="Joshua Owens"/>
    <x v="1"/>
    <n v="45"/>
    <x v="5"/>
    <x v="1"/>
    <x v="2"/>
    <n v="7"/>
    <x v="3"/>
    <x v="0"/>
    <n v="4.5999999999999996"/>
    <x v="0"/>
    <n v="0.78"/>
  </r>
  <r>
    <s v="FL250677"/>
    <s v="Dawn Mitchell"/>
    <x v="0"/>
    <n v="56"/>
    <x v="20"/>
    <x v="6"/>
    <x v="7"/>
    <m/>
    <x v="1"/>
    <x v="6"/>
    <n v="2.2000000000000002"/>
    <x v="0"/>
    <n v="0.7"/>
  </r>
  <r>
    <s v="FL250678"/>
    <s v="Regina Dunn"/>
    <x v="0"/>
    <n v="49"/>
    <x v="18"/>
    <x v="15"/>
    <x v="8"/>
    <m/>
    <x v="1"/>
    <x v="1"/>
    <n v="2.5"/>
    <x v="0"/>
    <n v="0.82"/>
  </r>
  <r>
    <s v="FL250679"/>
    <s v="Ernest Cole"/>
    <x v="1"/>
    <n v="48"/>
    <x v="15"/>
    <x v="12"/>
    <x v="4"/>
    <n v="25"/>
    <x v="0"/>
    <x v="5"/>
    <n v="3.1"/>
    <x v="0"/>
    <m/>
  </r>
  <r>
    <s v="FL250680"/>
    <s v="Hannah Sanders"/>
    <x v="0"/>
    <n v="29"/>
    <x v="12"/>
    <x v="10"/>
    <x v="2"/>
    <n v="1"/>
    <x v="1"/>
    <x v="6"/>
    <m/>
    <x v="1"/>
    <n v="0.99"/>
  </r>
  <r>
    <s v="FL250681"/>
    <s v="Ellen Bowman"/>
    <x v="0"/>
    <n v="49"/>
    <x v="3"/>
    <x v="3"/>
    <x v="3"/>
    <n v="7"/>
    <x v="3"/>
    <x v="4"/>
    <n v="3.8"/>
    <x v="1"/>
    <n v="0.93"/>
  </r>
  <r>
    <s v="FL250682"/>
    <s v="Nancy Moore"/>
    <x v="0"/>
    <n v="22"/>
    <x v="18"/>
    <x v="15"/>
    <x v="0"/>
    <m/>
    <x v="1"/>
    <x v="0"/>
    <n v="4.8"/>
    <x v="1"/>
    <n v="0.75"/>
  </r>
  <r>
    <s v="FL250683"/>
    <s v="Joseph Wood"/>
    <x v="1"/>
    <n v="52"/>
    <x v="19"/>
    <x v="6"/>
    <x v="2"/>
    <n v="6"/>
    <x v="3"/>
    <x v="0"/>
    <n v="2.5"/>
    <x v="2"/>
    <n v="0.61"/>
  </r>
  <r>
    <s v="FL250684"/>
    <s v="Michael Harrell"/>
    <x v="1"/>
    <n v="60"/>
    <x v="14"/>
    <x v="1"/>
    <x v="0"/>
    <n v="35"/>
    <x v="0"/>
    <x v="3"/>
    <n v="0"/>
    <x v="0"/>
    <n v="0.97"/>
  </r>
  <r>
    <s v="FL250685"/>
    <s v="Connie Mcclain"/>
    <x v="0"/>
    <n v="33"/>
    <x v="9"/>
    <x v="7"/>
    <x v="6"/>
    <n v="1"/>
    <x v="1"/>
    <x v="0"/>
    <n v="1.7"/>
    <x v="1"/>
    <n v="0.95"/>
  </r>
  <r>
    <s v="FL250686"/>
    <s v="Matthew Baldwin"/>
    <x v="1"/>
    <n v="52"/>
    <x v="12"/>
    <x v="10"/>
    <x v="2"/>
    <m/>
    <x v="1"/>
    <x v="2"/>
    <n v="4"/>
    <x v="2"/>
    <n v="0.69"/>
  </r>
  <r>
    <s v="FL250687"/>
    <s v="Danielle Nelson"/>
    <x v="0"/>
    <n v="25"/>
    <x v="2"/>
    <x v="2"/>
    <x v="8"/>
    <n v="0"/>
    <x v="1"/>
    <x v="0"/>
    <n v="1.9"/>
    <x v="0"/>
    <n v="0.63"/>
  </r>
  <r>
    <s v="FL250688"/>
    <s v="Steven Moore"/>
    <x v="1"/>
    <n v="33"/>
    <x v="9"/>
    <x v="7"/>
    <x v="7"/>
    <n v="9"/>
    <x v="3"/>
    <x v="3"/>
    <n v="4.4000000000000004"/>
    <x v="1"/>
    <n v="0.65"/>
  </r>
  <r>
    <s v="FL250689"/>
    <s v="Megan Hudson"/>
    <x v="0"/>
    <n v="33"/>
    <x v="18"/>
    <x v="15"/>
    <x v="1"/>
    <n v="18"/>
    <x v="4"/>
    <x v="5"/>
    <n v="4.2"/>
    <x v="1"/>
    <n v="0.9"/>
  </r>
  <r>
    <s v="FL250690"/>
    <s v="Lisa Johnson"/>
    <x v="0"/>
    <n v="52"/>
    <x v="14"/>
    <x v="1"/>
    <x v="6"/>
    <n v="22"/>
    <x v="0"/>
    <x v="0"/>
    <n v="4.8"/>
    <x v="0"/>
    <m/>
  </r>
  <r>
    <s v="FL250691"/>
    <s v="Tracy White"/>
    <x v="0"/>
    <n v="20"/>
    <x v="4"/>
    <x v="4"/>
    <x v="3"/>
    <n v="25"/>
    <x v="0"/>
    <x v="3"/>
    <n v="2"/>
    <x v="0"/>
    <n v="0.89"/>
  </r>
  <r>
    <s v="FL250692"/>
    <s v="Natalie Diaz"/>
    <x v="0"/>
    <n v="43"/>
    <x v="13"/>
    <x v="11"/>
    <x v="5"/>
    <n v="6"/>
    <x v="3"/>
    <x v="1"/>
    <m/>
    <x v="1"/>
    <n v="0.8"/>
  </r>
  <r>
    <s v="FL250693"/>
    <s v="Amanda Mitchell"/>
    <x v="0"/>
    <n v="31"/>
    <x v="15"/>
    <x v="12"/>
    <x v="1"/>
    <n v="10"/>
    <x v="3"/>
    <x v="1"/>
    <n v="1.4"/>
    <x v="0"/>
    <n v="0.8"/>
  </r>
  <r>
    <s v="FL250694"/>
    <s v="Karen Scott"/>
    <x v="0"/>
    <n v="29"/>
    <x v="2"/>
    <x v="2"/>
    <x v="5"/>
    <n v="4"/>
    <x v="1"/>
    <x v="0"/>
    <n v="1.8"/>
    <x v="0"/>
    <m/>
  </r>
  <r>
    <s v="FL250695"/>
    <s v="Mary Brown"/>
    <x v="0"/>
    <n v="53"/>
    <x v="17"/>
    <x v="14"/>
    <x v="2"/>
    <n v="11"/>
    <x v="2"/>
    <x v="5"/>
    <n v="0"/>
    <x v="1"/>
    <n v="0.67"/>
  </r>
  <r>
    <s v="FL250696"/>
    <s v="Jon Jones"/>
    <x v="1"/>
    <n v="38"/>
    <x v="10"/>
    <x v="8"/>
    <x v="1"/>
    <n v="1"/>
    <x v="1"/>
    <x v="2"/>
    <n v="0"/>
    <x v="0"/>
    <n v="0.96"/>
  </r>
  <r>
    <s v="FL250697"/>
    <s v="Jason Phillips"/>
    <x v="1"/>
    <n v="29"/>
    <x v="20"/>
    <x v="6"/>
    <x v="2"/>
    <n v="35"/>
    <x v="0"/>
    <x v="6"/>
    <n v="0"/>
    <x v="0"/>
    <n v="0.9"/>
  </r>
  <r>
    <s v="FL250698"/>
    <s v="Eric Walsh"/>
    <x v="1"/>
    <n v="42"/>
    <x v="12"/>
    <x v="10"/>
    <x v="6"/>
    <n v="17"/>
    <x v="4"/>
    <x v="5"/>
    <n v="3.9"/>
    <x v="0"/>
    <n v="0.62"/>
  </r>
  <r>
    <s v="FL250699"/>
    <s v="Carol Schneider"/>
    <x v="0"/>
    <n v="54"/>
    <x v="5"/>
    <x v="1"/>
    <x v="9"/>
    <n v="12"/>
    <x v="2"/>
    <x v="0"/>
    <m/>
    <x v="0"/>
    <n v="0.72"/>
  </r>
  <r>
    <s v="FL250700"/>
    <s v="Juan Hines"/>
    <x v="1"/>
    <n v="56"/>
    <x v="18"/>
    <x v="15"/>
    <x v="6"/>
    <n v="30"/>
    <x v="0"/>
    <x v="1"/>
    <n v="4.4000000000000004"/>
    <x v="1"/>
    <n v="0.83"/>
  </r>
  <r>
    <s v="FL250701"/>
    <s v="Martha Sweeney"/>
    <x v="0"/>
    <n v="47"/>
    <x v="6"/>
    <x v="5"/>
    <x v="2"/>
    <n v="20"/>
    <x v="4"/>
    <x v="0"/>
    <n v="4.4000000000000004"/>
    <x v="0"/>
    <n v="0.7"/>
  </r>
  <r>
    <s v="FL250702"/>
    <s v="Jason Weaver"/>
    <x v="1"/>
    <n v="45"/>
    <x v="13"/>
    <x v="11"/>
    <x v="0"/>
    <n v="22"/>
    <x v="0"/>
    <x v="1"/>
    <n v="0"/>
    <x v="0"/>
    <n v="0.99"/>
  </r>
  <r>
    <s v="FL250703"/>
    <s v="Benjamin Stevens"/>
    <x v="1"/>
    <n v="45"/>
    <x v="18"/>
    <x v="15"/>
    <x v="5"/>
    <n v="32"/>
    <x v="0"/>
    <x v="1"/>
    <n v="1.4"/>
    <x v="2"/>
    <n v="0.97"/>
  </r>
  <r>
    <s v="FL250704"/>
    <s v="Daniel Lopez"/>
    <x v="1"/>
    <n v="35"/>
    <x v="14"/>
    <x v="1"/>
    <x v="9"/>
    <n v="9"/>
    <x v="3"/>
    <x v="6"/>
    <n v="3.2"/>
    <x v="1"/>
    <n v="0.77"/>
  </r>
  <r>
    <s v="FL250705"/>
    <s v="John Simpson"/>
    <x v="1"/>
    <n v="51"/>
    <x v="14"/>
    <x v="1"/>
    <x v="8"/>
    <n v="22"/>
    <x v="0"/>
    <x v="1"/>
    <n v="2"/>
    <x v="0"/>
    <n v="0.92"/>
  </r>
  <r>
    <s v="FL250706"/>
    <s v="Katrina Schultz"/>
    <x v="0"/>
    <n v="34"/>
    <x v="20"/>
    <x v="6"/>
    <x v="1"/>
    <n v="1"/>
    <x v="1"/>
    <x v="1"/>
    <n v="3.3"/>
    <x v="1"/>
    <n v="0.76"/>
  </r>
  <r>
    <s v="FL250707"/>
    <s v="Danielle Bell"/>
    <x v="0"/>
    <n v="51"/>
    <x v="4"/>
    <x v="4"/>
    <x v="2"/>
    <n v="4"/>
    <x v="1"/>
    <x v="1"/>
    <n v="0"/>
    <x v="1"/>
    <n v="0.97"/>
  </r>
  <r>
    <s v="FL250708"/>
    <s v="Jason Brady"/>
    <x v="1"/>
    <n v="58"/>
    <x v="16"/>
    <x v="13"/>
    <x v="2"/>
    <n v="8"/>
    <x v="3"/>
    <x v="0"/>
    <n v="2.2999999999999998"/>
    <x v="1"/>
    <m/>
  </r>
  <r>
    <s v="FL250709"/>
    <s v="Megan Bright"/>
    <x v="0"/>
    <n v="36"/>
    <x v="3"/>
    <x v="3"/>
    <x v="3"/>
    <n v="3"/>
    <x v="1"/>
    <x v="6"/>
    <n v="0"/>
    <x v="1"/>
    <n v="0.99"/>
  </r>
  <r>
    <s v="FL250710"/>
    <s v="David Griffin"/>
    <x v="1"/>
    <m/>
    <x v="13"/>
    <x v="11"/>
    <x v="4"/>
    <n v="30"/>
    <x v="0"/>
    <x v="3"/>
    <n v="2.6"/>
    <x v="1"/>
    <m/>
  </r>
  <r>
    <s v="FL250711"/>
    <s v="Michael Clark"/>
    <x v="1"/>
    <n v="56"/>
    <x v="17"/>
    <x v="14"/>
    <x v="9"/>
    <n v="11"/>
    <x v="2"/>
    <x v="2"/>
    <n v="3.3"/>
    <x v="1"/>
    <n v="0.82"/>
  </r>
  <r>
    <s v="FL250712"/>
    <s v="Rebecca Barker"/>
    <x v="0"/>
    <n v="58"/>
    <x v="14"/>
    <x v="1"/>
    <x v="7"/>
    <n v="8"/>
    <x v="3"/>
    <x v="4"/>
    <n v="3.6"/>
    <x v="1"/>
    <n v="0.78"/>
  </r>
  <r>
    <s v="FL250713"/>
    <s v="Angela Smith"/>
    <x v="0"/>
    <n v="58"/>
    <x v="5"/>
    <x v="1"/>
    <x v="7"/>
    <n v="11"/>
    <x v="2"/>
    <x v="0"/>
    <n v="3.7"/>
    <x v="0"/>
    <m/>
  </r>
  <r>
    <s v="FL250714"/>
    <s v="Christina Wright"/>
    <x v="0"/>
    <n v="54"/>
    <x v="7"/>
    <x v="1"/>
    <x v="4"/>
    <n v="9"/>
    <x v="3"/>
    <x v="6"/>
    <n v="3.4"/>
    <x v="0"/>
    <m/>
  </r>
  <r>
    <s v="FL250715"/>
    <s v="Todd Turner"/>
    <x v="1"/>
    <n v="53"/>
    <x v="1"/>
    <x v="1"/>
    <x v="6"/>
    <n v="7"/>
    <x v="3"/>
    <x v="1"/>
    <n v="4"/>
    <x v="1"/>
    <n v="0.72"/>
  </r>
  <r>
    <s v="FL250716"/>
    <s v="Elizabeth Green"/>
    <x v="0"/>
    <n v="43"/>
    <x v="1"/>
    <x v="1"/>
    <x v="3"/>
    <n v="24"/>
    <x v="0"/>
    <x v="2"/>
    <n v="4.5"/>
    <x v="2"/>
    <m/>
  </r>
  <r>
    <s v="FL250717"/>
    <s v="Alex Smith"/>
    <x v="1"/>
    <n v="44"/>
    <x v="12"/>
    <x v="10"/>
    <x v="9"/>
    <n v="0"/>
    <x v="1"/>
    <x v="4"/>
    <n v="4.3"/>
    <x v="1"/>
    <m/>
  </r>
  <r>
    <s v="FL250718"/>
    <s v="Shane Hale"/>
    <x v="1"/>
    <n v="34"/>
    <x v="14"/>
    <x v="1"/>
    <x v="7"/>
    <n v="21"/>
    <x v="0"/>
    <x v="4"/>
    <n v="4"/>
    <x v="1"/>
    <m/>
  </r>
  <r>
    <s v="FL250719"/>
    <s v="Kathy Grimes"/>
    <x v="0"/>
    <n v="27"/>
    <x v="11"/>
    <x v="9"/>
    <x v="1"/>
    <n v="0"/>
    <x v="1"/>
    <x v="1"/>
    <n v="1.6"/>
    <x v="1"/>
    <m/>
  </r>
  <r>
    <s v="FL250720"/>
    <s v="David Cherry"/>
    <x v="1"/>
    <n v="50"/>
    <x v="9"/>
    <x v="7"/>
    <x v="5"/>
    <n v="7"/>
    <x v="3"/>
    <x v="0"/>
    <n v="0"/>
    <x v="1"/>
    <m/>
  </r>
  <r>
    <s v="FL250721"/>
    <s v="Rachel Rogers"/>
    <x v="0"/>
    <n v="52"/>
    <x v="12"/>
    <x v="10"/>
    <x v="6"/>
    <n v="3"/>
    <x v="1"/>
    <x v="4"/>
    <m/>
    <x v="0"/>
    <n v="0.94"/>
  </r>
  <r>
    <s v="FL250722"/>
    <s v="Travis Braun"/>
    <x v="1"/>
    <n v="57"/>
    <x v="20"/>
    <x v="6"/>
    <x v="0"/>
    <n v="21"/>
    <x v="0"/>
    <x v="6"/>
    <n v="4.9000000000000004"/>
    <x v="1"/>
    <m/>
  </r>
  <r>
    <s v="FL250723"/>
    <s v="Shawna Palmer"/>
    <x v="0"/>
    <n v="53"/>
    <x v="19"/>
    <x v="6"/>
    <x v="8"/>
    <m/>
    <x v="1"/>
    <x v="6"/>
    <n v="2.8"/>
    <x v="1"/>
    <m/>
  </r>
  <r>
    <s v="FL250724"/>
    <s v="Bradley Gaines"/>
    <x v="1"/>
    <n v="51"/>
    <x v="6"/>
    <x v="5"/>
    <x v="6"/>
    <m/>
    <x v="1"/>
    <x v="3"/>
    <n v="3.6"/>
    <x v="1"/>
    <n v="0.77"/>
  </r>
  <r>
    <s v="FL250725"/>
    <s v="April Ford"/>
    <x v="0"/>
    <n v="37"/>
    <x v="14"/>
    <x v="1"/>
    <x v="7"/>
    <n v="17"/>
    <x v="4"/>
    <x v="1"/>
    <m/>
    <x v="1"/>
    <n v="0.84"/>
  </r>
  <r>
    <s v="FL250726"/>
    <s v="James Gonzalez"/>
    <x v="1"/>
    <n v="40"/>
    <x v="20"/>
    <x v="6"/>
    <x v="3"/>
    <n v="0"/>
    <x v="1"/>
    <x v="2"/>
    <n v="4.5"/>
    <x v="2"/>
    <n v="0.79"/>
  </r>
  <r>
    <s v="FL250727"/>
    <s v="John Castillo"/>
    <x v="1"/>
    <n v="60"/>
    <x v="9"/>
    <x v="7"/>
    <x v="5"/>
    <n v="6"/>
    <x v="3"/>
    <x v="2"/>
    <n v="3.1"/>
    <x v="0"/>
    <n v="0.69"/>
  </r>
  <r>
    <s v="FL250728"/>
    <s v="Ian Hayes"/>
    <x v="1"/>
    <n v="60"/>
    <x v="15"/>
    <x v="12"/>
    <x v="6"/>
    <n v="3"/>
    <x v="1"/>
    <x v="2"/>
    <n v="4.9000000000000004"/>
    <x v="1"/>
    <n v="0.68"/>
  </r>
  <r>
    <s v="FL250729"/>
    <s v="Christine Castro"/>
    <x v="0"/>
    <n v="53"/>
    <x v="12"/>
    <x v="10"/>
    <x v="6"/>
    <n v="3"/>
    <x v="1"/>
    <x v="3"/>
    <n v="4.2"/>
    <x v="1"/>
    <n v="0.73"/>
  </r>
  <r>
    <s v="FL250730"/>
    <s v="Jessica Chaney"/>
    <x v="0"/>
    <n v="20"/>
    <x v="19"/>
    <x v="6"/>
    <x v="0"/>
    <n v="31"/>
    <x v="0"/>
    <x v="4"/>
    <n v="3.2"/>
    <x v="1"/>
    <n v="0.74"/>
  </r>
  <r>
    <s v="FL250731"/>
    <s v="John Gray"/>
    <x v="1"/>
    <n v="42"/>
    <x v="13"/>
    <x v="11"/>
    <x v="3"/>
    <n v="5"/>
    <x v="1"/>
    <x v="6"/>
    <m/>
    <x v="0"/>
    <n v="1"/>
  </r>
  <r>
    <s v="FL250732"/>
    <s v="Shane Booker"/>
    <x v="1"/>
    <n v="21"/>
    <x v="7"/>
    <x v="1"/>
    <x v="1"/>
    <n v="37"/>
    <x v="0"/>
    <x v="2"/>
    <n v="0"/>
    <x v="0"/>
    <n v="0.87"/>
  </r>
  <r>
    <s v="FL250733"/>
    <s v="Kyle Hall"/>
    <x v="1"/>
    <n v="39"/>
    <x v="2"/>
    <x v="2"/>
    <x v="3"/>
    <n v="10"/>
    <x v="3"/>
    <x v="0"/>
    <n v="2.2000000000000002"/>
    <x v="0"/>
    <n v="0.79"/>
  </r>
  <r>
    <s v="FL250734"/>
    <s v="Ronald Munoz"/>
    <x v="1"/>
    <n v="32"/>
    <x v="10"/>
    <x v="8"/>
    <x v="0"/>
    <n v="28"/>
    <x v="0"/>
    <x v="3"/>
    <n v="1.5"/>
    <x v="0"/>
    <n v="0.68"/>
  </r>
  <r>
    <s v="FL250735"/>
    <s v="Christopher Long"/>
    <x v="1"/>
    <n v="35"/>
    <x v="2"/>
    <x v="2"/>
    <x v="5"/>
    <n v="0"/>
    <x v="1"/>
    <x v="0"/>
    <m/>
    <x v="0"/>
    <n v="0.84"/>
  </r>
  <r>
    <s v="FL250736"/>
    <s v="Sandra Ali"/>
    <x v="0"/>
    <n v="35"/>
    <x v="15"/>
    <x v="12"/>
    <x v="6"/>
    <n v="19"/>
    <x v="4"/>
    <x v="1"/>
    <n v="3.1"/>
    <x v="0"/>
    <n v="0.71"/>
  </r>
  <r>
    <s v="FL250737"/>
    <s v="Jessica Garza"/>
    <x v="0"/>
    <n v="23"/>
    <x v="8"/>
    <x v="6"/>
    <x v="6"/>
    <n v="9"/>
    <x v="3"/>
    <x v="4"/>
    <n v="0"/>
    <x v="0"/>
    <n v="0.92"/>
  </r>
  <r>
    <s v="FL250738"/>
    <s v="Gregory Waters"/>
    <x v="1"/>
    <n v="26"/>
    <x v="3"/>
    <x v="3"/>
    <x v="4"/>
    <n v="5"/>
    <x v="1"/>
    <x v="0"/>
    <m/>
    <x v="0"/>
    <n v="0.69"/>
  </r>
  <r>
    <s v="FL250739"/>
    <s v="Misty Adams"/>
    <x v="0"/>
    <n v="34"/>
    <x v="14"/>
    <x v="1"/>
    <x v="9"/>
    <n v="0"/>
    <x v="1"/>
    <x v="5"/>
    <n v="0"/>
    <x v="1"/>
    <n v="0.71"/>
  </r>
  <r>
    <s v="FL250740"/>
    <s v="Megan Brown"/>
    <x v="0"/>
    <n v="34"/>
    <x v="2"/>
    <x v="2"/>
    <x v="0"/>
    <n v="21"/>
    <x v="0"/>
    <x v="5"/>
    <m/>
    <x v="0"/>
    <n v="0.77"/>
  </r>
  <r>
    <s v="FL250741"/>
    <s v="Gregory Brown"/>
    <x v="1"/>
    <n v="57"/>
    <x v="0"/>
    <x v="0"/>
    <x v="3"/>
    <n v="0"/>
    <x v="1"/>
    <x v="1"/>
    <n v="3"/>
    <x v="1"/>
    <n v="0.87"/>
  </r>
  <r>
    <s v="FL250742"/>
    <s v="Scott Alexander"/>
    <x v="1"/>
    <n v="46"/>
    <x v="14"/>
    <x v="1"/>
    <x v="3"/>
    <n v="0"/>
    <x v="1"/>
    <x v="3"/>
    <n v="2.6"/>
    <x v="0"/>
    <n v="0.76"/>
  </r>
  <r>
    <s v="FL250743"/>
    <s v="Eric Nguyen"/>
    <x v="1"/>
    <n v="55"/>
    <x v="10"/>
    <x v="8"/>
    <x v="4"/>
    <n v="17"/>
    <x v="4"/>
    <x v="4"/>
    <n v="4.0999999999999996"/>
    <x v="0"/>
    <m/>
  </r>
  <r>
    <s v="FL250744"/>
    <s v="Wendy Boyer"/>
    <x v="0"/>
    <n v="32"/>
    <x v="1"/>
    <x v="1"/>
    <x v="8"/>
    <n v="21"/>
    <x v="0"/>
    <x v="1"/>
    <n v="1.5"/>
    <x v="0"/>
    <n v="0.65"/>
  </r>
  <r>
    <s v="FL250745"/>
    <s v="Mark Clark"/>
    <x v="1"/>
    <n v="53"/>
    <x v="4"/>
    <x v="4"/>
    <x v="4"/>
    <n v="7"/>
    <x v="3"/>
    <x v="1"/>
    <n v="2.9"/>
    <x v="1"/>
    <n v="0.82"/>
  </r>
  <r>
    <s v="FL250746"/>
    <s v="Carl Kline"/>
    <x v="1"/>
    <n v="59"/>
    <x v="19"/>
    <x v="6"/>
    <x v="4"/>
    <n v="22"/>
    <x v="0"/>
    <x v="0"/>
    <n v="0"/>
    <x v="1"/>
    <n v="0.87"/>
  </r>
  <r>
    <s v="FL250747"/>
    <s v="Linda Williams"/>
    <x v="0"/>
    <n v="44"/>
    <x v="3"/>
    <x v="3"/>
    <x v="9"/>
    <m/>
    <x v="1"/>
    <x v="2"/>
    <n v="4.9000000000000004"/>
    <x v="0"/>
    <n v="1"/>
  </r>
  <r>
    <s v="FL250748"/>
    <s v="Jason Edwards"/>
    <x v="1"/>
    <n v="35"/>
    <x v="16"/>
    <x v="13"/>
    <x v="0"/>
    <n v="1"/>
    <x v="1"/>
    <x v="1"/>
    <n v="3"/>
    <x v="0"/>
    <n v="0.71"/>
  </r>
  <r>
    <s v="FL250749"/>
    <s v="Madison Mcintosh"/>
    <x v="0"/>
    <n v="42"/>
    <x v="18"/>
    <x v="15"/>
    <x v="9"/>
    <n v="5"/>
    <x v="1"/>
    <x v="3"/>
    <n v="4.9000000000000004"/>
    <x v="1"/>
    <n v="0.87"/>
  </r>
  <r>
    <s v="FL250750"/>
    <s v="Desiree Winters"/>
    <x v="0"/>
    <n v="58"/>
    <x v="12"/>
    <x v="10"/>
    <x v="0"/>
    <n v="40"/>
    <x v="0"/>
    <x v="3"/>
    <n v="4.5999999999999996"/>
    <x v="0"/>
    <n v="0.7"/>
  </r>
  <r>
    <s v="FL250751"/>
    <s v="Ryan Taylor"/>
    <x v="1"/>
    <n v="41"/>
    <x v="3"/>
    <x v="3"/>
    <x v="4"/>
    <n v="19"/>
    <x v="4"/>
    <x v="0"/>
    <n v="2.2000000000000002"/>
    <x v="1"/>
    <n v="0.83"/>
  </r>
  <r>
    <s v="FL250752"/>
    <s v="Patricia Scott"/>
    <x v="0"/>
    <m/>
    <x v="8"/>
    <x v="6"/>
    <x v="3"/>
    <n v="12"/>
    <x v="2"/>
    <x v="2"/>
    <m/>
    <x v="1"/>
    <n v="0.74"/>
  </r>
  <r>
    <s v="FL250753"/>
    <s v="Erin Jimenez"/>
    <x v="0"/>
    <n v="23"/>
    <x v="14"/>
    <x v="1"/>
    <x v="0"/>
    <n v="7"/>
    <x v="3"/>
    <x v="3"/>
    <n v="1.1000000000000001"/>
    <x v="1"/>
    <n v="0.86"/>
  </r>
  <r>
    <s v="FL250754"/>
    <s v="Anthony Krause"/>
    <x v="1"/>
    <n v="51"/>
    <x v="18"/>
    <x v="15"/>
    <x v="0"/>
    <n v="4"/>
    <x v="1"/>
    <x v="2"/>
    <n v="4.5"/>
    <x v="1"/>
    <n v="0.72"/>
  </r>
  <r>
    <s v="FL250755"/>
    <s v="Diane Dean"/>
    <x v="0"/>
    <n v="42"/>
    <x v="15"/>
    <x v="12"/>
    <x v="4"/>
    <n v="24"/>
    <x v="0"/>
    <x v="5"/>
    <n v="2.5"/>
    <x v="1"/>
    <n v="0.73"/>
  </r>
  <r>
    <s v="FL250756"/>
    <s v="Stuart Mckinney"/>
    <x v="1"/>
    <n v="26"/>
    <x v="9"/>
    <x v="7"/>
    <x v="5"/>
    <n v="1"/>
    <x v="1"/>
    <x v="4"/>
    <n v="2.9"/>
    <x v="0"/>
    <n v="0.78"/>
  </r>
  <r>
    <s v="FL250757"/>
    <s v="Kellie Le"/>
    <x v="0"/>
    <n v="49"/>
    <x v="4"/>
    <x v="4"/>
    <x v="4"/>
    <n v="28"/>
    <x v="0"/>
    <x v="4"/>
    <n v="0"/>
    <x v="1"/>
    <m/>
  </r>
  <r>
    <s v="FL250758"/>
    <s v="Lauren Henry"/>
    <x v="0"/>
    <n v="37"/>
    <x v="0"/>
    <x v="0"/>
    <x v="8"/>
    <n v="19"/>
    <x v="4"/>
    <x v="4"/>
    <n v="3.5"/>
    <x v="0"/>
    <n v="0.75"/>
  </r>
  <r>
    <s v="FL250759"/>
    <s v="Brandon Fox"/>
    <x v="1"/>
    <n v="31"/>
    <x v="1"/>
    <x v="1"/>
    <x v="4"/>
    <n v="4"/>
    <x v="1"/>
    <x v="2"/>
    <n v="4.5"/>
    <x v="0"/>
    <n v="0.96"/>
  </r>
  <r>
    <s v="FL250760"/>
    <s v="Richard Smith"/>
    <x v="1"/>
    <n v="51"/>
    <x v="12"/>
    <x v="10"/>
    <x v="1"/>
    <n v="20"/>
    <x v="4"/>
    <x v="2"/>
    <n v="1.7"/>
    <x v="1"/>
    <n v="0.61"/>
  </r>
  <r>
    <s v="FL250761"/>
    <s v="John White"/>
    <x v="1"/>
    <n v="60"/>
    <x v="18"/>
    <x v="15"/>
    <x v="8"/>
    <n v="19"/>
    <x v="4"/>
    <x v="1"/>
    <n v="4.5999999999999996"/>
    <x v="1"/>
    <n v="1"/>
  </r>
  <r>
    <s v="FL250762"/>
    <s v="Gilbert Mcintyre"/>
    <x v="1"/>
    <n v="51"/>
    <x v="14"/>
    <x v="1"/>
    <x v="0"/>
    <n v="1"/>
    <x v="1"/>
    <x v="1"/>
    <m/>
    <x v="1"/>
    <n v="0.82"/>
  </r>
  <r>
    <s v="FL250763"/>
    <s v="Christopher Sparks"/>
    <x v="1"/>
    <n v="37"/>
    <x v="2"/>
    <x v="2"/>
    <x v="2"/>
    <n v="8"/>
    <x v="3"/>
    <x v="5"/>
    <n v="4.9000000000000004"/>
    <x v="1"/>
    <n v="0.8"/>
  </r>
  <r>
    <s v="FL250764"/>
    <s v="Aaron Hicks"/>
    <x v="1"/>
    <n v="52"/>
    <x v="10"/>
    <x v="8"/>
    <x v="0"/>
    <n v="3"/>
    <x v="1"/>
    <x v="2"/>
    <n v="2.2000000000000002"/>
    <x v="2"/>
    <n v="0.96"/>
  </r>
  <r>
    <s v="FL250765"/>
    <s v="Jose Patterson"/>
    <x v="1"/>
    <n v="27"/>
    <x v="4"/>
    <x v="4"/>
    <x v="0"/>
    <n v="30"/>
    <x v="0"/>
    <x v="6"/>
    <m/>
    <x v="0"/>
    <n v="0.63"/>
  </r>
  <r>
    <s v="FL250766"/>
    <s v="Bryan Long"/>
    <x v="1"/>
    <n v="48"/>
    <x v="1"/>
    <x v="1"/>
    <x v="2"/>
    <n v="3"/>
    <x v="1"/>
    <x v="2"/>
    <n v="2.2000000000000002"/>
    <x v="0"/>
    <n v="0.67"/>
  </r>
  <r>
    <s v="FL250767"/>
    <s v="Tammy Gomez"/>
    <x v="0"/>
    <n v="22"/>
    <x v="9"/>
    <x v="7"/>
    <x v="5"/>
    <n v="19"/>
    <x v="4"/>
    <x v="3"/>
    <n v="3.3"/>
    <x v="1"/>
    <n v="0.61"/>
  </r>
  <r>
    <s v="FL250768"/>
    <s v="Diana Raymond"/>
    <x v="0"/>
    <n v="48"/>
    <x v="2"/>
    <x v="2"/>
    <x v="1"/>
    <n v="11"/>
    <x v="2"/>
    <x v="3"/>
    <n v="4.9000000000000004"/>
    <x v="0"/>
    <n v="0.77"/>
  </r>
  <r>
    <s v="FL250769"/>
    <s v="Jessica Armstrong"/>
    <x v="0"/>
    <n v="54"/>
    <x v="5"/>
    <x v="1"/>
    <x v="1"/>
    <n v="26"/>
    <x v="0"/>
    <x v="4"/>
    <n v="0"/>
    <x v="2"/>
    <m/>
  </r>
  <r>
    <s v="FL250770"/>
    <s v="Amanda Martin"/>
    <x v="0"/>
    <n v="52"/>
    <x v="12"/>
    <x v="10"/>
    <x v="5"/>
    <n v="10"/>
    <x v="3"/>
    <x v="1"/>
    <m/>
    <x v="0"/>
    <n v="0.84"/>
  </r>
  <r>
    <s v="FL250771"/>
    <s v="Anne Hamilton"/>
    <x v="0"/>
    <n v="39"/>
    <x v="6"/>
    <x v="5"/>
    <x v="3"/>
    <n v="17"/>
    <x v="4"/>
    <x v="0"/>
    <m/>
    <x v="1"/>
    <n v="0.89"/>
  </r>
  <r>
    <s v="FL250772"/>
    <s v="Heather Curtis"/>
    <x v="0"/>
    <n v="54"/>
    <x v="13"/>
    <x v="11"/>
    <x v="1"/>
    <n v="9"/>
    <x v="3"/>
    <x v="3"/>
    <n v="4"/>
    <x v="2"/>
    <n v="0.9"/>
  </r>
  <r>
    <s v="FL250773"/>
    <s v="Tiffany Moses"/>
    <x v="0"/>
    <n v="22"/>
    <x v="5"/>
    <x v="1"/>
    <x v="7"/>
    <n v="0"/>
    <x v="1"/>
    <x v="6"/>
    <n v="4.8"/>
    <x v="0"/>
    <n v="0.87"/>
  </r>
  <r>
    <s v="FL250774"/>
    <s v="Jacqueline Moon"/>
    <x v="0"/>
    <n v="29"/>
    <x v="17"/>
    <x v="14"/>
    <x v="1"/>
    <n v="5"/>
    <x v="1"/>
    <x v="1"/>
    <n v="0"/>
    <x v="0"/>
    <n v="0.77"/>
  </r>
  <r>
    <s v="FL250775"/>
    <s v="James Campbell"/>
    <x v="1"/>
    <n v="23"/>
    <x v="20"/>
    <x v="6"/>
    <x v="8"/>
    <n v="15"/>
    <x v="2"/>
    <x v="3"/>
    <n v="1.6"/>
    <x v="1"/>
    <n v="0.72"/>
  </r>
  <r>
    <s v="FL250776"/>
    <s v="Melissa Vasquez"/>
    <x v="0"/>
    <n v="58"/>
    <x v="19"/>
    <x v="6"/>
    <x v="8"/>
    <n v="3"/>
    <x v="1"/>
    <x v="1"/>
    <n v="1.3"/>
    <x v="1"/>
    <n v="0.87"/>
  </r>
  <r>
    <s v="FL250777"/>
    <s v="Katherine Carlson"/>
    <x v="0"/>
    <n v="56"/>
    <x v="18"/>
    <x v="15"/>
    <x v="0"/>
    <n v="1"/>
    <x v="1"/>
    <x v="2"/>
    <n v="4.0999999999999996"/>
    <x v="1"/>
    <n v="0.89"/>
  </r>
  <r>
    <s v="FL250778"/>
    <s v="Adam Clay"/>
    <x v="1"/>
    <n v="48"/>
    <x v="6"/>
    <x v="5"/>
    <x v="3"/>
    <n v="13"/>
    <x v="2"/>
    <x v="2"/>
    <n v="1.5"/>
    <x v="0"/>
    <n v="0.87"/>
  </r>
  <r>
    <s v="FL250779"/>
    <s v="Amy Combs"/>
    <x v="0"/>
    <n v="31"/>
    <x v="13"/>
    <x v="11"/>
    <x v="1"/>
    <n v="6"/>
    <x v="3"/>
    <x v="2"/>
    <n v="4.3"/>
    <x v="1"/>
    <n v="0.76"/>
  </r>
  <r>
    <s v="FL250780"/>
    <s v="Anthony Case"/>
    <x v="1"/>
    <n v="44"/>
    <x v="1"/>
    <x v="1"/>
    <x v="9"/>
    <n v="4"/>
    <x v="1"/>
    <x v="1"/>
    <n v="1.6"/>
    <x v="2"/>
    <n v="1"/>
  </r>
  <r>
    <s v="FL250781"/>
    <s v="Kimberly Brown"/>
    <x v="0"/>
    <n v="42"/>
    <x v="16"/>
    <x v="13"/>
    <x v="1"/>
    <n v="7"/>
    <x v="3"/>
    <x v="0"/>
    <n v="3.7"/>
    <x v="1"/>
    <n v="0.94"/>
  </r>
  <r>
    <s v="FL250782"/>
    <s v="Joshua Holloway"/>
    <x v="1"/>
    <n v="59"/>
    <x v="5"/>
    <x v="1"/>
    <x v="7"/>
    <n v="1"/>
    <x v="1"/>
    <x v="1"/>
    <n v="1.4"/>
    <x v="1"/>
    <m/>
  </r>
  <r>
    <s v="FL250783"/>
    <s v="Cynthia Walton"/>
    <x v="0"/>
    <m/>
    <x v="8"/>
    <x v="6"/>
    <x v="0"/>
    <n v="5"/>
    <x v="1"/>
    <x v="0"/>
    <n v="4.5"/>
    <x v="1"/>
    <n v="0.83"/>
  </r>
  <r>
    <s v="FL250784"/>
    <s v="Shawn Delgado"/>
    <x v="1"/>
    <n v="21"/>
    <x v="18"/>
    <x v="15"/>
    <x v="5"/>
    <n v="29"/>
    <x v="0"/>
    <x v="2"/>
    <n v="3.7"/>
    <x v="0"/>
    <n v="0.74"/>
  </r>
  <r>
    <s v="FL250785"/>
    <s v="Jeremy Smith"/>
    <x v="1"/>
    <n v="53"/>
    <x v="7"/>
    <x v="1"/>
    <x v="8"/>
    <n v="12"/>
    <x v="2"/>
    <x v="4"/>
    <n v="1.1000000000000001"/>
    <x v="0"/>
    <n v="0.92"/>
  </r>
  <r>
    <s v="FL250786"/>
    <s v="Marc Ortiz"/>
    <x v="1"/>
    <n v="35"/>
    <x v="8"/>
    <x v="6"/>
    <x v="1"/>
    <n v="4"/>
    <x v="1"/>
    <x v="5"/>
    <n v="3.7"/>
    <x v="0"/>
    <n v="0.66"/>
  </r>
  <r>
    <s v="FL250787"/>
    <s v="Michelle Gregory"/>
    <x v="0"/>
    <n v="25"/>
    <x v="11"/>
    <x v="9"/>
    <x v="9"/>
    <n v="12"/>
    <x v="2"/>
    <x v="1"/>
    <n v="3.2"/>
    <x v="1"/>
    <n v="0.74"/>
  </r>
  <r>
    <s v="FL250788"/>
    <s v="Melanie Gay"/>
    <x v="0"/>
    <n v="23"/>
    <x v="0"/>
    <x v="0"/>
    <x v="6"/>
    <n v="3"/>
    <x v="1"/>
    <x v="3"/>
    <n v="5"/>
    <x v="0"/>
    <n v="0.97"/>
  </r>
  <r>
    <s v="FL250789"/>
    <s v="Brittany Lambert"/>
    <x v="0"/>
    <n v="56"/>
    <x v="16"/>
    <x v="13"/>
    <x v="2"/>
    <n v="15"/>
    <x v="2"/>
    <x v="3"/>
    <n v="0"/>
    <x v="2"/>
    <n v="0.77"/>
  </r>
  <r>
    <s v="FL250790"/>
    <s v="Mary Hernandez"/>
    <x v="0"/>
    <n v="31"/>
    <x v="19"/>
    <x v="6"/>
    <x v="6"/>
    <n v="15"/>
    <x v="2"/>
    <x v="5"/>
    <n v="3.5"/>
    <x v="0"/>
    <n v="0.86"/>
  </r>
  <r>
    <s v="FL250791"/>
    <s v="Jonathan Jones"/>
    <x v="1"/>
    <n v="24"/>
    <x v="5"/>
    <x v="1"/>
    <x v="7"/>
    <n v="13"/>
    <x v="2"/>
    <x v="1"/>
    <n v="3.1"/>
    <x v="0"/>
    <n v="0.95"/>
  </r>
  <r>
    <s v="FL250792"/>
    <s v="Gina Williams"/>
    <x v="0"/>
    <n v="35"/>
    <x v="11"/>
    <x v="9"/>
    <x v="7"/>
    <n v="20"/>
    <x v="4"/>
    <x v="5"/>
    <n v="3.9"/>
    <x v="0"/>
    <n v="0.72"/>
  </r>
  <r>
    <s v="FL250793"/>
    <s v="Kelly Lawson"/>
    <x v="0"/>
    <n v="20"/>
    <x v="20"/>
    <x v="6"/>
    <x v="4"/>
    <n v="30"/>
    <x v="0"/>
    <x v="5"/>
    <n v="3.5"/>
    <x v="0"/>
    <n v="0.71"/>
  </r>
  <r>
    <s v="FL250794"/>
    <s v="Keith Smith"/>
    <x v="1"/>
    <n v="26"/>
    <x v="1"/>
    <x v="1"/>
    <x v="5"/>
    <n v="4"/>
    <x v="1"/>
    <x v="0"/>
    <n v="2.5"/>
    <x v="1"/>
    <n v="0.93"/>
  </r>
  <r>
    <s v="FL250795"/>
    <s v="Christopher Hunter"/>
    <x v="1"/>
    <n v="54"/>
    <x v="7"/>
    <x v="1"/>
    <x v="8"/>
    <m/>
    <x v="1"/>
    <x v="2"/>
    <n v="3.1"/>
    <x v="1"/>
    <m/>
  </r>
  <r>
    <s v="FL250796"/>
    <s v="Dwayne Parks"/>
    <x v="1"/>
    <n v="53"/>
    <x v="13"/>
    <x v="11"/>
    <x v="7"/>
    <n v="3"/>
    <x v="1"/>
    <x v="0"/>
    <n v="4.7"/>
    <x v="1"/>
    <n v="0.87"/>
  </r>
  <r>
    <s v="FL250797"/>
    <s v="Mary Hall"/>
    <x v="0"/>
    <n v="33"/>
    <x v="14"/>
    <x v="1"/>
    <x v="8"/>
    <n v="23"/>
    <x v="0"/>
    <x v="5"/>
    <n v="1.9"/>
    <x v="0"/>
    <n v="0.73"/>
  </r>
  <r>
    <s v="FL250798"/>
    <s v="Jake Gilmore"/>
    <x v="1"/>
    <n v="43"/>
    <x v="3"/>
    <x v="3"/>
    <x v="3"/>
    <n v="28"/>
    <x v="0"/>
    <x v="5"/>
    <n v="1.6"/>
    <x v="1"/>
    <n v="0.74"/>
  </r>
  <r>
    <s v="FL250799"/>
    <s v="Mark Lopez"/>
    <x v="1"/>
    <n v="37"/>
    <x v="14"/>
    <x v="1"/>
    <x v="8"/>
    <n v="0"/>
    <x v="1"/>
    <x v="6"/>
    <n v="2.5"/>
    <x v="0"/>
    <n v="0.62"/>
  </r>
  <r>
    <s v="FL250800"/>
    <s v="Dana Rice"/>
    <x v="0"/>
    <n v="58"/>
    <x v="15"/>
    <x v="12"/>
    <x v="5"/>
    <n v="30"/>
    <x v="0"/>
    <x v="6"/>
    <n v="3.5"/>
    <x v="2"/>
    <n v="0.98"/>
  </r>
  <r>
    <s v="FL250801"/>
    <s v="Beth Young"/>
    <x v="0"/>
    <n v="39"/>
    <x v="20"/>
    <x v="6"/>
    <x v="1"/>
    <n v="20"/>
    <x v="4"/>
    <x v="1"/>
    <m/>
    <x v="0"/>
    <n v="0.8"/>
  </r>
  <r>
    <s v="FL250802"/>
    <s v="Ryan Powell"/>
    <x v="1"/>
    <n v="43"/>
    <x v="6"/>
    <x v="5"/>
    <x v="2"/>
    <n v="0"/>
    <x v="1"/>
    <x v="6"/>
    <n v="1.2"/>
    <x v="1"/>
    <n v="0.69"/>
  </r>
  <r>
    <s v="FL250803"/>
    <s v="Amanda Fowler"/>
    <x v="0"/>
    <n v="40"/>
    <x v="20"/>
    <x v="6"/>
    <x v="0"/>
    <n v="4"/>
    <x v="1"/>
    <x v="3"/>
    <m/>
    <x v="0"/>
    <n v="0.9"/>
  </r>
  <r>
    <s v="FL250804"/>
    <s v="Lindsay Rivera"/>
    <x v="0"/>
    <n v="51"/>
    <x v="7"/>
    <x v="1"/>
    <x v="9"/>
    <n v="10"/>
    <x v="3"/>
    <x v="4"/>
    <m/>
    <x v="1"/>
    <n v="0.74"/>
  </r>
  <r>
    <s v="FL250805"/>
    <s v="Mark Ward"/>
    <x v="1"/>
    <n v="23"/>
    <x v="2"/>
    <x v="2"/>
    <x v="4"/>
    <n v="24"/>
    <x v="0"/>
    <x v="1"/>
    <n v="4.5"/>
    <x v="0"/>
    <n v="0.98"/>
  </r>
  <r>
    <s v="FL250806"/>
    <s v="Amanda Smith"/>
    <x v="0"/>
    <n v="31"/>
    <x v="4"/>
    <x v="4"/>
    <x v="2"/>
    <n v="21"/>
    <x v="0"/>
    <x v="6"/>
    <m/>
    <x v="1"/>
    <n v="0.84"/>
  </r>
  <r>
    <s v="FL250807"/>
    <s v="Emily Brown"/>
    <x v="0"/>
    <n v="44"/>
    <x v="13"/>
    <x v="11"/>
    <x v="3"/>
    <n v="2"/>
    <x v="1"/>
    <x v="6"/>
    <n v="5"/>
    <x v="1"/>
    <n v="0.75"/>
  </r>
  <r>
    <s v="FL250808"/>
    <s v="Dwayne Cardenas"/>
    <x v="1"/>
    <n v="56"/>
    <x v="2"/>
    <x v="2"/>
    <x v="1"/>
    <n v="14"/>
    <x v="2"/>
    <x v="4"/>
    <n v="3.9"/>
    <x v="1"/>
    <m/>
  </r>
  <r>
    <s v="FL250809"/>
    <s v="Rhonda Hernandez"/>
    <x v="0"/>
    <n v="48"/>
    <x v="1"/>
    <x v="1"/>
    <x v="7"/>
    <n v="15"/>
    <x v="2"/>
    <x v="0"/>
    <n v="1.8"/>
    <x v="1"/>
    <n v="0.97"/>
  </r>
  <r>
    <s v="FL250810"/>
    <s v="Melody Barker"/>
    <x v="0"/>
    <n v="46"/>
    <x v="13"/>
    <x v="11"/>
    <x v="3"/>
    <n v="11"/>
    <x v="2"/>
    <x v="3"/>
    <n v="4.2"/>
    <x v="1"/>
    <m/>
  </r>
  <r>
    <s v="FL250811"/>
    <s v="Russell Carpenter"/>
    <x v="1"/>
    <n v="21"/>
    <x v="16"/>
    <x v="13"/>
    <x v="4"/>
    <n v="6"/>
    <x v="3"/>
    <x v="6"/>
    <n v="2.6"/>
    <x v="0"/>
    <n v="0.64"/>
  </r>
  <r>
    <s v="FL250812"/>
    <s v="Richard Hill"/>
    <x v="1"/>
    <n v="52"/>
    <x v="13"/>
    <x v="11"/>
    <x v="5"/>
    <n v="2"/>
    <x v="1"/>
    <x v="3"/>
    <n v="2"/>
    <x v="1"/>
    <n v="0.68"/>
  </r>
  <r>
    <s v="FL250813"/>
    <s v="Lindsay Potts"/>
    <x v="0"/>
    <n v="39"/>
    <x v="13"/>
    <x v="11"/>
    <x v="2"/>
    <n v="1"/>
    <x v="1"/>
    <x v="4"/>
    <n v="2.7"/>
    <x v="1"/>
    <n v="0.67"/>
  </r>
  <r>
    <s v="FL250814"/>
    <s v="Michelle Campbell"/>
    <x v="0"/>
    <n v="31"/>
    <x v="1"/>
    <x v="1"/>
    <x v="1"/>
    <n v="2"/>
    <x v="1"/>
    <x v="3"/>
    <n v="2.2999999999999998"/>
    <x v="0"/>
    <n v="0.79"/>
  </r>
  <r>
    <s v="FL250815"/>
    <s v="Alan Williams"/>
    <x v="1"/>
    <n v="22"/>
    <x v="12"/>
    <x v="10"/>
    <x v="6"/>
    <n v="2"/>
    <x v="1"/>
    <x v="2"/>
    <n v="3.8"/>
    <x v="1"/>
    <n v="1"/>
  </r>
  <r>
    <s v="FL250816"/>
    <s v="Robin Hinton"/>
    <x v="0"/>
    <n v="38"/>
    <x v="7"/>
    <x v="1"/>
    <x v="6"/>
    <n v="2"/>
    <x v="1"/>
    <x v="2"/>
    <m/>
    <x v="0"/>
    <n v="0.66"/>
  </r>
  <r>
    <s v="FL250817"/>
    <s v="Brian Holland"/>
    <x v="1"/>
    <n v="44"/>
    <x v="8"/>
    <x v="6"/>
    <x v="2"/>
    <n v="12"/>
    <x v="2"/>
    <x v="4"/>
    <n v="4.5999999999999996"/>
    <x v="0"/>
    <n v="0.97"/>
  </r>
  <r>
    <s v="FL250818"/>
    <s v="Adam Stone"/>
    <x v="1"/>
    <n v="53"/>
    <x v="4"/>
    <x v="4"/>
    <x v="9"/>
    <n v="28"/>
    <x v="0"/>
    <x v="0"/>
    <n v="3.4"/>
    <x v="0"/>
    <n v="0.62"/>
  </r>
  <r>
    <s v="FL250819"/>
    <s v="Curtis Lambert"/>
    <x v="1"/>
    <n v="22"/>
    <x v="18"/>
    <x v="15"/>
    <x v="5"/>
    <n v="4"/>
    <x v="1"/>
    <x v="6"/>
    <m/>
    <x v="0"/>
    <m/>
  </r>
  <r>
    <s v="FL250820"/>
    <s v="Alexandra Sims"/>
    <x v="0"/>
    <n v="40"/>
    <x v="10"/>
    <x v="8"/>
    <x v="0"/>
    <n v="3"/>
    <x v="1"/>
    <x v="4"/>
    <n v="0"/>
    <x v="1"/>
    <n v="0.79"/>
  </r>
  <r>
    <s v="FL250821"/>
    <s v="Brenda Spencer"/>
    <x v="0"/>
    <n v="49"/>
    <x v="18"/>
    <x v="15"/>
    <x v="1"/>
    <n v="4"/>
    <x v="1"/>
    <x v="2"/>
    <n v="3.9"/>
    <x v="0"/>
    <n v="0.86"/>
  </r>
  <r>
    <s v="FL250822"/>
    <s v="Joshua Bush"/>
    <x v="1"/>
    <n v="30"/>
    <x v="1"/>
    <x v="1"/>
    <x v="6"/>
    <n v="1"/>
    <x v="1"/>
    <x v="3"/>
    <n v="4.2"/>
    <x v="0"/>
    <n v="0.65"/>
  </r>
  <r>
    <s v="FL250823"/>
    <s v="Erin Martin"/>
    <x v="0"/>
    <n v="37"/>
    <x v="9"/>
    <x v="7"/>
    <x v="4"/>
    <n v="8"/>
    <x v="3"/>
    <x v="6"/>
    <m/>
    <x v="2"/>
    <n v="0.99"/>
  </r>
  <r>
    <s v="FL250824"/>
    <s v="Alexander Hogan"/>
    <x v="1"/>
    <n v="21"/>
    <x v="16"/>
    <x v="13"/>
    <x v="2"/>
    <n v="11"/>
    <x v="2"/>
    <x v="0"/>
    <n v="3.6"/>
    <x v="0"/>
    <n v="0.85"/>
  </r>
  <r>
    <s v="FL250825"/>
    <s v="William Harris"/>
    <x v="1"/>
    <n v="20"/>
    <x v="12"/>
    <x v="10"/>
    <x v="4"/>
    <n v="8"/>
    <x v="3"/>
    <x v="1"/>
    <m/>
    <x v="1"/>
    <n v="0.81"/>
  </r>
  <r>
    <s v="FL250826"/>
    <s v="Michael Mcmahon"/>
    <x v="1"/>
    <n v="20"/>
    <x v="18"/>
    <x v="15"/>
    <x v="5"/>
    <n v="32"/>
    <x v="0"/>
    <x v="2"/>
    <n v="2.1"/>
    <x v="0"/>
    <n v="0.64"/>
  </r>
  <r>
    <s v="FL250827"/>
    <s v="Michael Watson"/>
    <x v="1"/>
    <n v="20"/>
    <x v="8"/>
    <x v="6"/>
    <x v="9"/>
    <n v="4"/>
    <x v="1"/>
    <x v="6"/>
    <n v="3.9"/>
    <x v="0"/>
    <n v="0.84"/>
  </r>
  <r>
    <s v="FL250828"/>
    <s v="Lori Perez"/>
    <x v="0"/>
    <n v="26"/>
    <x v="13"/>
    <x v="11"/>
    <x v="9"/>
    <n v="33"/>
    <x v="0"/>
    <x v="2"/>
    <n v="0"/>
    <x v="2"/>
    <n v="0.66"/>
  </r>
  <r>
    <s v="FL250829"/>
    <s v="Lindsay Le"/>
    <x v="0"/>
    <n v="50"/>
    <x v="12"/>
    <x v="10"/>
    <x v="3"/>
    <n v="14"/>
    <x v="2"/>
    <x v="4"/>
    <n v="0"/>
    <x v="0"/>
    <n v="0.75"/>
  </r>
  <r>
    <s v="FL250830"/>
    <s v="Scott Long"/>
    <x v="1"/>
    <n v="50"/>
    <x v="20"/>
    <x v="6"/>
    <x v="4"/>
    <n v="6"/>
    <x v="3"/>
    <x v="3"/>
    <n v="1.8"/>
    <x v="2"/>
    <m/>
  </r>
  <r>
    <s v="FL250831"/>
    <s v="Diana Ferguson"/>
    <x v="0"/>
    <n v="54"/>
    <x v="4"/>
    <x v="4"/>
    <x v="4"/>
    <n v="5"/>
    <x v="1"/>
    <x v="6"/>
    <n v="1.1000000000000001"/>
    <x v="1"/>
    <n v="0.63"/>
  </r>
  <r>
    <s v="FL250832"/>
    <s v="Joseph Miller"/>
    <x v="1"/>
    <n v="54"/>
    <x v="20"/>
    <x v="6"/>
    <x v="0"/>
    <n v="3"/>
    <x v="1"/>
    <x v="6"/>
    <n v="1.6"/>
    <x v="1"/>
    <n v="0.7"/>
  </r>
  <r>
    <s v="FL250833"/>
    <s v="Julia Reid"/>
    <x v="0"/>
    <n v="34"/>
    <x v="16"/>
    <x v="13"/>
    <x v="9"/>
    <n v="17"/>
    <x v="4"/>
    <x v="3"/>
    <n v="3.1"/>
    <x v="2"/>
    <n v="0.9"/>
  </r>
  <r>
    <s v="FL250834"/>
    <s v="Samantha Matthews"/>
    <x v="0"/>
    <n v="20"/>
    <x v="0"/>
    <x v="0"/>
    <x v="8"/>
    <n v="9"/>
    <x v="3"/>
    <x v="1"/>
    <n v="3.4"/>
    <x v="1"/>
    <n v="0.79"/>
  </r>
  <r>
    <s v="FL250835"/>
    <s v="Brian Bailey"/>
    <x v="1"/>
    <n v="29"/>
    <x v="2"/>
    <x v="2"/>
    <x v="4"/>
    <n v="16"/>
    <x v="4"/>
    <x v="2"/>
    <n v="3.1"/>
    <x v="0"/>
    <n v="0.6"/>
  </r>
  <r>
    <s v="FL250836"/>
    <s v="Toni Hinton"/>
    <x v="0"/>
    <n v="57"/>
    <x v="7"/>
    <x v="1"/>
    <x v="8"/>
    <n v="3"/>
    <x v="1"/>
    <x v="4"/>
    <n v="2.2999999999999998"/>
    <x v="0"/>
    <m/>
  </r>
  <r>
    <s v="FL250837"/>
    <s v="Robin Ortiz"/>
    <x v="0"/>
    <n v="36"/>
    <x v="3"/>
    <x v="3"/>
    <x v="4"/>
    <n v="2"/>
    <x v="1"/>
    <x v="2"/>
    <m/>
    <x v="0"/>
    <n v="0.8"/>
  </r>
  <r>
    <s v="FL250838"/>
    <s v="Adam Griffith"/>
    <x v="1"/>
    <n v="51"/>
    <x v="12"/>
    <x v="10"/>
    <x v="3"/>
    <n v="16"/>
    <x v="4"/>
    <x v="1"/>
    <n v="3.2"/>
    <x v="0"/>
    <n v="0.88"/>
  </r>
  <r>
    <s v="FL250839"/>
    <s v="Daniel Roberson"/>
    <x v="1"/>
    <n v="44"/>
    <x v="10"/>
    <x v="8"/>
    <x v="6"/>
    <n v="6"/>
    <x v="3"/>
    <x v="3"/>
    <n v="0"/>
    <x v="0"/>
    <n v="0.8"/>
  </r>
  <r>
    <s v="FL250840"/>
    <s v="Dale Haynes"/>
    <x v="1"/>
    <n v="58"/>
    <x v="20"/>
    <x v="6"/>
    <x v="7"/>
    <n v="10"/>
    <x v="3"/>
    <x v="3"/>
    <n v="3.3"/>
    <x v="1"/>
    <n v="0.71"/>
  </r>
  <r>
    <s v="FL250841"/>
    <s v="Emily Scott"/>
    <x v="0"/>
    <n v="38"/>
    <x v="17"/>
    <x v="14"/>
    <x v="1"/>
    <n v="16"/>
    <x v="4"/>
    <x v="5"/>
    <n v="1.1000000000000001"/>
    <x v="1"/>
    <n v="0.76"/>
  </r>
  <r>
    <s v="FL250842"/>
    <s v="David Brown"/>
    <x v="1"/>
    <n v="24"/>
    <x v="5"/>
    <x v="1"/>
    <x v="6"/>
    <n v="0"/>
    <x v="1"/>
    <x v="3"/>
    <n v="4.5999999999999996"/>
    <x v="1"/>
    <n v="0.93"/>
  </r>
  <r>
    <s v="FL250843"/>
    <s v="Stephanie Guzman"/>
    <x v="0"/>
    <n v="30"/>
    <x v="6"/>
    <x v="5"/>
    <x v="0"/>
    <n v="13"/>
    <x v="2"/>
    <x v="3"/>
    <m/>
    <x v="0"/>
    <m/>
  </r>
  <r>
    <s v="FL250844"/>
    <s v="Maxwell Johnson"/>
    <x v="1"/>
    <n v="25"/>
    <x v="4"/>
    <x v="4"/>
    <x v="7"/>
    <n v="12"/>
    <x v="2"/>
    <x v="4"/>
    <m/>
    <x v="0"/>
    <n v="0.83"/>
  </r>
  <r>
    <s v="FL250845"/>
    <s v="Reginald Stephens"/>
    <x v="1"/>
    <n v="54"/>
    <x v="4"/>
    <x v="4"/>
    <x v="1"/>
    <n v="13"/>
    <x v="2"/>
    <x v="0"/>
    <n v="0"/>
    <x v="0"/>
    <n v="0.71"/>
  </r>
  <r>
    <s v="FL250846"/>
    <s v="Justin Jones"/>
    <x v="1"/>
    <n v="54"/>
    <x v="0"/>
    <x v="0"/>
    <x v="7"/>
    <n v="22"/>
    <x v="0"/>
    <x v="6"/>
    <n v="0"/>
    <x v="1"/>
    <n v="0.96"/>
  </r>
  <r>
    <s v="FL250847"/>
    <s v="Kristine Garcia"/>
    <x v="0"/>
    <n v="53"/>
    <x v="15"/>
    <x v="12"/>
    <x v="2"/>
    <n v="1"/>
    <x v="1"/>
    <x v="2"/>
    <n v="0"/>
    <x v="0"/>
    <m/>
  </r>
  <r>
    <s v="FL250848"/>
    <s v="John Nguyen"/>
    <x v="1"/>
    <n v="22"/>
    <x v="13"/>
    <x v="11"/>
    <x v="4"/>
    <m/>
    <x v="1"/>
    <x v="4"/>
    <n v="3.4"/>
    <x v="1"/>
    <n v="0.65"/>
  </r>
  <r>
    <s v="FL250849"/>
    <s v="Anna Fleming"/>
    <x v="0"/>
    <n v="23"/>
    <x v="19"/>
    <x v="6"/>
    <x v="5"/>
    <n v="12"/>
    <x v="2"/>
    <x v="6"/>
    <n v="1.3"/>
    <x v="0"/>
    <m/>
  </r>
  <r>
    <s v="FL250850"/>
    <s v="Linda Williamson"/>
    <x v="0"/>
    <n v="47"/>
    <x v="15"/>
    <x v="12"/>
    <x v="7"/>
    <m/>
    <x v="1"/>
    <x v="1"/>
    <n v="1.9"/>
    <x v="0"/>
    <n v="0.71"/>
  </r>
  <r>
    <s v="FL250851"/>
    <s v="Roy Wilson"/>
    <x v="1"/>
    <n v="24"/>
    <x v="15"/>
    <x v="12"/>
    <x v="3"/>
    <n v="12"/>
    <x v="2"/>
    <x v="1"/>
    <n v="1.4"/>
    <x v="1"/>
    <n v="0.63"/>
  </r>
  <r>
    <s v="FL250852"/>
    <s v="Jennifer Pierce"/>
    <x v="0"/>
    <n v="57"/>
    <x v="10"/>
    <x v="8"/>
    <x v="6"/>
    <n v="0"/>
    <x v="1"/>
    <x v="0"/>
    <n v="4.3"/>
    <x v="0"/>
    <m/>
  </r>
  <r>
    <s v="FL250853"/>
    <s v="Jason Johnson"/>
    <x v="1"/>
    <n v="48"/>
    <x v="20"/>
    <x v="6"/>
    <x v="2"/>
    <n v="18"/>
    <x v="4"/>
    <x v="3"/>
    <m/>
    <x v="0"/>
    <n v="0.97"/>
  </r>
  <r>
    <s v="FL250854"/>
    <s v="Jasmine Lane"/>
    <x v="0"/>
    <n v="21"/>
    <x v="6"/>
    <x v="5"/>
    <x v="6"/>
    <n v="2"/>
    <x v="1"/>
    <x v="0"/>
    <n v="4.3"/>
    <x v="0"/>
    <m/>
  </r>
  <r>
    <s v="FL250855"/>
    <s v="Evan Soto"/>
    <x v="1"/>
    <n v="33"/>
    <x v="9"/>
    <x v="7"/>
    <x v="4"/>
    <m/>
    <x v="1"/>
    <x v="4"/>
    <n v="0"/>
    <x v="1"/>
    <m/>
  </r>
  <r>
    <s v="FL250856"/>
    <s v="Kevin Serrano"/>
    <x v="1"/>
    <n v="41"/>
    <x v="6"/>
    <x v="5"/>
    <x v="8"/>
    <n v="2"/>
    <x v="1"/>
    <x v="5"/>
    <n v="1.3"/>
    <x v="0"/>
    <n v="0.85"/>
  </r>
  <r>
    <s v="FL250857"/>
    <s v="Nathaniel Benson"/>
    <x v="1"/>
    <n v="40"/>
    <x v="1"/>
    <x v="1"/>
    <x v="7"/>
    <n v="35"/>
    <x v="0"/>
    <x v="1"/>
    <n v="2.9"/>
    <x v="0"/>
    <n v="0.82"/>
  </r>
  <r>
    <s v="FL250858"/>
    <s v="Deanna Miles"/>
    <x v="0"/>
    <n v="40"/>
    <x v="19"/>
    <x v="6"/>
    <x v="2"/>
    <n v="21"/>
    <x v="0"/>
    <x v="2"/>
    <n v="4.3"/>
    <x v="0"/>
    <n v="0.95"/>
  </r>
  <r>
    <s v="FL250859"/>
    <s v="Beverly Roy"/>
    <x v="0"/>
    <n v="20"/>
    <x v="5"/>
    <x v="1"/>
    <x v="2"/>
    <n v="3"/>
    <x v="1"/>
    <x v="5"/>
    <n v="2.7"/>
    <x v="0"/>
    <n v="0.94"/>
  </r>
  <r>
    <s v="FL250860"/>
    <s v="Heather Saunders"/>
    <x v="0"/>
    <n v="42"/>
    <x v="19"/>
    <x v="6"/>
    <x v="3"/>
    <n v="24"/>
    <x v="0"/>
    <x v="1"/>
    <n v="4.2"/>
    <x v="2"/>
    <n v="0.96"/>
  </r>
  <r>
    <s v="FL250861"/>
    <s v="Nicholas Guerrero"/>
    <x v="1"/>
    <n v="32"/>
    <x v="14"/>
    <x v="1"/>
    <x v="0"/>
    <m/>
    <x v="1"/>
    <x v="2"/>
    <n v="0"/>
    <x v="1"/>
    <n v="0.63"/>
  </r>
  <r>
    <s v="FL250862"/>
    <s v="Christopher Johnson"/>
    <x v="1"/>
    <n v="60"/>
    <x v="9"/>
    <x v="7"/>
    <x v="4"/>
    <n v="0"/>
    <x v="1"/>
    <x v="6"/>
    <n v="2.2000000000000002"/>
    <x v="0"/>
    <n v="0.6"/>
  </r>
  <r>
    <s v="FL250863"/>
    <s v="Steven Flowers"/>
    <x v="1"/>
    <n v="46"/>
    <x v="16"/>
    <x v="13"/>
    <x v="9"/>
    <n v="2"/>
    <x v="1"/>
    <x v="1"/>
    <n v="4.7"/>
    <x v="1"/>
    <n v="0.77"/>
  </r>
  <r>
    <s v="FL250864"/>
    <s v="Marvin Woods III"/>
    <x v="1"/>
    <n v="29"/>
    <x v="18"/>
    <x v="15"/>
    <x v="8"/>
    <m/>
    <x v="1"/>
    <x v="3"/>
    <n v="0"/>
    <x v="0"/>
    <n v="0.63"/>
  </r>
  <r>
    <s v="FL250865"/>
    <s v="Michelle Cook"/>
    <x v="0"/>
    <n v="39"/>
    <x v="11"/>
    <x v="9"/>
    <x v="1"/>
    <n v="21"/>
    <x v="0"/>
    <x v="6"/>
    <n v="2.5"/>
    <x v="1"/>
    <n v="0.61"/>
  </r>
  <r>
    <s v="FL250866"/>
    <s v="Logan Zamora"/>
    <x v="1"/>
    <n v="55"/>
    <x v="13"/>
    <x v="11"/>
    <x v="1"/>
    <n v="24"/>
    <x v="0"/>
    <x v="1"/>
    <n v="3.9"/>
    <x v="1"/>
    <n v="0.88"/>
  </r>
  <r>
    <s v="FL250867"/>
    <s v="Casey Roberts"/>
    <x v="1"/>
    <n v="55"/>
    <x v="6"/>
    <x v="5"/>
    <x v="7"/>
    <n v="32"/>
    <x v="0"/>
    <x v="0"/>
    <n v="1.2"/>
    <x v="1"/>
    <n v="0.69"/>
  </r>
  <r>
    <s v="FL250868"/>
    <s v="Jerry Price"/>
    <x v="1"/>
    <n v="40"/>
    <x v="4"/>
    <x v="4"/>
    <x v="5"/>
    <n v="31"/>
    <x v="0"/>
    <x v="4"/>
    <n v="4.5"/>
    <x v="1"/>
    <m/>
  </r>
  <r>
    <s v="FL250869"/>
    <s v="Kelly Ellis"/>
    <x v="0"/>
    <n v="56"/>
    <x v="18"/>
    <x v="15"/>
    <x v="6"/>
    <m/>
    <x v="1"/>
    <x v="2"/>
    <n v="2.7"/>
    <x v="1"/>
    <n v="0.82"/>
  </r>
  <r>
    <s v="FL250870"/>
    <s v="Caleb Guerra"/>
    <x v="1"/>
    <n v="57"/>
    <x v="19"/>
    <x v="6"/>
    <x v="1"/>
    <n v="24"/>
    <x v="0"/>
    <x v="4"/>
    <n v="2"/>
    <x v="0"/>
    <n v="0.96"/>
  </r>
  <r>
    <s v="FL250871"/>
    <s v="Samantha Norman"/>
    <x v="0"/>
    <n v="56"/>
    <x v="13"/>
    <x v="11"/>
    <x v="8"/>
    <m/>
    <x v="1"/>
    <x v="2"/>
    <n v="1.7"/>
    <x v="0"/>
    <n v="0.71"/>
  </r>
  <r>
    <s v="FL250872"/>
    <s v="Sarah Clarke"/>
    <x v="0"/>
    <n v="49"/>
    <x v="2"/>
    <x v="2"/>
    <x v="1"/>
    <n v="6"/>
    <x v="3"/>
    <x v="4"/>
    <n v="3"/>
    <x v="1"/>
    <n v="0.77"/>
  </r>
  <r>
    <s v="FL250873"/>
    <s v="Aaron Blair"/>
    <x v="1"/>
    <n v="26"/>
    <x v="20"/>
    <x v="6"/>
    <x v="0"/>
    <n v="11"/>
    <x v="2"/>
    <x v="4"/>
    <n v="2.1"/>
    <x v="1"/>
    <m/>
  </r>
  <r>
    <s v="FL250874"/>
    <s v="Courtney Burton"/>
    <x v="0"/>
    <n v="36"/>
    <x v="12"/>
    <x v="10"/>
    <x v="6"/>
    <m/>
    <x v="1"/>
    <x v="4"/>
    <n v="1.5"/>
    <x v="2"/>
    <n v="0.73"/>
  </r>
  <r>
    <s v="FL250875"/>
    <s v="Gerald Taylor"/>
    <x v="1"/>
    <n v="20"/>
    <x v="13"/>
    <x v="11"/>
    <x v="3"/>
    <n v="14"/>
    <x v="2"/>
    <x v="3"/>
    <n v="1.7"/>
    <x v="1"/>
    <n v="0.6"/>
  </r>
  <r>
    <s v="FL250876"/>
    <s v="Mary Ward"/>
    <x v="0"/>
    <n v="40"/>
    <x v="20"/>
    <x v="6"/>
    <x v="4"/>
    <n v="2"/>
    <x v="1"/>
    <x v="5"/>
    <n v="1.2"/>
    <x v="1"/>
    <n v="0.67"/>
  </r>
  <r>
    <s v="FL250877"/>
    <s v="Lisa Beard"/>
    <x v="0"/>
    <n v="30"/>
    <x v="10"/>
    <x v="8"/>
    <x v="1"/>
    <n v="2"/>
    <x v="1"/>
    <x v="4"/>
    <n v="0"/>
    <x v="0"/>
    <n v="0.8"/>
  </r>
  <r>
    <s v="FL250878"/>
    <s v="Larry Wallace"/>
    <x v="1"/>
    <n v="51"/>
    <x v="1"/>
    <x v="1"/>
    <x v="2"/>
    <n v="11"/>
    <x v="2"/>
    <x v="6"/>
    <m/>
    <x v="1"/>
    <m/>
  </r>
  <r>
    <s v="FL250879"/>
    <s v="Jeremiah Thompson"/>
    <x v="1"/>
    <n v="46"/>
    <x v="5"/>
    <x v="1"/>
    <x v="6"/>
    <n v="13"/>
    <x v="2"/>
    <x v="2"/>
    <n v="3.3"/>
    <x v="1"/>
    <n v="0.87"/>
  </r>
  <r>
    <s v="FL250880"/>
    <s v="Jessica Williams"/>
    <x v="0"/>
    <n v="25"/>
    <x v="12"/>
    <x v="10"/>
    <x v="4"/>
    <n v="7"/>
    <x v="3"/>
    <x v="6"/>
    <n v="2.1"/>
    <x v="0"/>
    <m/>
  </r>
  <r>
    <s v="FL250881"/>
    <s v="Martin Moreno"/>
    <x v="1"/>
    <n v="53"/>
    <x v="3"/>
    <x v="3"/>
    <x v="3"/>
    <n v="25"/>
    <x v="0"/>
    <x v="1"/>
    <m/>
    <x v="1"/>
    <m/>
  </r>
  <r>
    <s v="FL250882"/>
    <s v="Yolanda Proctor"/>
    <x v="0"/>
    <n v="50"/>
    <x v="16"/>
    <x v="13"/>
    <x v="1"/>
    <n v="20"/>
    <x v="4"/>
    <x v="0"/>
    <n v="2.9"/>
    <x v="1"/>
    <n v="0.89"/>
  </r>
  <r>
    <s v="FL250883"/>
    <s v="Allen Turner"/>
    <x v="1"/>
    <n v="45"/>
    <x v="12"/>
    <x v="10"/>
    <x v="4"/>
    <n v="8"/>
    <x v="3"/>
    <x v="6"/>
    <n v="3.3"/>
    <x v="1"/>
    <n v="0.93"/>
  </r>
  <r>
    <s v="FL250884"/>
    <s v="Beth Huff"/>
    <x v="0"/>
    <n v="48"/>
    <x v="14"/>
    <x v="1"/>
    <x v="7"/>
    <n v="6"/>
    <x v="3"/>
    <x v="0"/>
    <n v="4.8"/>
    <x v="1"/>
    <n v="0.84"/>
  </r>
  <r>
    <s v="FL250885"/>
    <s v="John Mckinney"/>
    <x v="1"/>
    <n v="30"/>
    <x v="4"/>
    <x v="4"/>
    <x v="8"/>
    <n v="3"/>
    <x v="1"/>
    <x v="0"/>
    <n v="4.5"/>
    <x v="2"/>
    <n v="0.78"/>
  </r>
  <r>
    <s v="FL250886"/>
    <s v="Sarah Ho"/>
    <x v="0"/>
    <n v="33"/>
    <x v="3"/>
    <x v="3"/>
    <x v="6"/>
    <n v="18"/>
    <x v="4"/>
    <x v="1"/>
    <n v="3.1"/>
    <x v="0"/>
    <n v="0.9"/>
  </r>
  <r>
    <s v="FL250887"/>
    <s v="Lindsey Wang"/>
    <x v="0"/>
    <n v="50"/>
    <x v="7"/>
    <x v="1"/>
    <x v="8"/>
    <n v="18"/>
    <x v="4"/>
    <x v="5"/>
    <n v="4.9000000000000004"/>
    <x v="1"/>
    <n v="0.88"/>
  </r>
  <r>
    <s v="FL250888"/>
    <s v="Margaret Schwartz"/>
    <x v="0"/>
    <n v="24"/>
    <x v="4"/>
    <x v="4"/>
    <x v="5"/>
    <n v="3"/>
    <x v="1"/>
    <x v="6"/>
    <n v="0"/>
    <x v="0"/>
    <n v="0.76"/>
  </r>
  <r>
    <s v="FL250889"/>
    <s v="Kyle Ray"/>
    <x v="1"/>
    <n v="38"/>
    <x v="0"/>
    <x v="0"/>
    <x v="3"/>
    <n v="32"/>
    <x v="0"/>
    <x v="4"/>
    <n v="1.5"/>
    <x v="0"/>
    <n v="0.62"/>
  </r>
  <r>
    <s v="FL250890"/>
    <s v="Isaac Hebert"/>
    <x v="1"/>
    <n v="56"/>
    <x v="9"/>
    <x v="7"/>
    <x v="8"/>
    <n v="19"/>
    <x v="4"/>
    <x v="4"/>
    <n v="2.4"/>
    <x v="0"/>
    <m/>
  </r>
  <r>
    <s v="FL250891"/>
    <s v="Michele Jones"/>
    <x v="0"/>
    <n v="41"/>
    <x v="13"/>
    <x v="11"/>
    <x v="8"/>
    <n v="2"/>
    <x v="1"/>
    <x v="0"/>
    <n v="4.5"/>
    <x v="0"/>
    <n v="0.75"/>
  </r>
  <r>
    <s v="FL250892"/>
    <s v="Austin Allen"/>
    <x v="1"/>
    <m/>
    <x v="0"/>
    <x v="0"/>
    <x v="6"/>
    <n v="0"/>
    <x v="1"/>
    <x v="0"/>
    <n v="2.5"/>
    <x v="1"/>
    <n v="0.8"/>
  </r>
  <r>
    <s v="FL250893"/>
    <s v="Haley Castro"/>
    <x v="0"/>
    <n v="42"/>
    <x v="2"/>
    <x v="2"/>
    <x v="2"/>
    <n v="13"/>
    <x v="2"/>
    <x v="3"/>
    <n v="3.3"/>
    <x v="2"/>
    <n v="0.63"/>
  </r>
  <r>
    <s v="FL250894"/>
    <s v="David Armstrong"/>
    <x v="1"/>
    <n v="26"/>
    <x v="10"/>
    <x v="8"/>
    <x v="0"/>
    <n v="2"/>
    <x v="1"/>
    <x v="4"/>
    <n v="3"/>
    <x v="2"/>
    <n v="0.84"/>
  </r>
  <r>
    <s v="FL250895"/>
    <s v="Wendy Mitchell"/>
    <x v="0"/>
    <n v="44"/>
    <x v="14"/>
    <x v="1"/>
    <x v="7"/>
    <n v="11"/>
    <x v="2"/>
    <x v="4"/>
    <n v="2.7"/>
    <x v="1"/>
    <n v="0.78"/>
  </r>
  <r>
    <s v="FL250896"/>
    <s v="Anthony Hernandez"/>
    <x v="1"/>
    <n v="46"/>
    <x v="14"/>
    <x v="1"/>
    <x v="2"/>
    <n v="17"/>
    <x v="4"/>
    <x v="6"/>
    <n v="1.2"/>
    <x v="0"/>
    <n v="0.74"/>
  </r>
  <r>
    <s v="FL250897"/>
    <s v="Erica Johnson"/>
    <x v="0"/>
    <n v="36"/>
    <x v="5"/>
    <x v="1"/>
    <x v="6"/>
    <n v="10"/>
    <x v="3"/>
    <x v="1"/>
    <n v="4.3"/>
    <x v="0"/>
    <n v="0.9"/>
  </r>
  <r>
    <s v="FL250898"/>
    <s v="Randall Barrett"/>
    <x v="1"/>
    <n v="26"/>
    <x v="3"/>
    <x v="3"/>
    <x v="4"/>
    <n v="26"/>
    <x v="0"/>
    <x v="2"/>
    <n v="1.3"/>
    <x v="0"/>
    <m/>
  </r>
  <r>
    <s v="FL250899"/>
    <s v="Nathan Huff"/>
    <x v="1"/>
    <n v="21"/>
    <x v="2"/>
    <x v="2"/>
    <x v="6"/>
    <m/>
    <x v="1"/>
    <x v="1"/>
    <n v="4.5999999999999996"/>
    <x v="1"/>
    <m/>
  </r>
  <r>
    <s v="FL250900"/>
    <s v="Robin Walsh"/>
    <x v="0"/>
    <n v="39"/>
    <x v="4"/>
    <x v="4"/>
    <x v="6"/>
    <n v="8"/>
    <x v="3"/>
    <x v="1"/>
    <n v="2.1"/>
    <x v="0"/>
    <n v="0.75"/>
  </r>
  <r>
    <s v="FL250901"/>
    <s v="Yvonne Robinson"/>
    <x v="0"/>
    <n v="37"/>
    <x v="5"/>
    <x v="1"/>
    <x v="0"/>
    <n v="22"/>
    <x v="0"/>
    <x v="2"/>
    <n v="4.5"/>
    <x v="0"/>
    <n v="0.72"/>
  </r>
  <r>
    <s v="FL250902"/>
    <s v="Kathleen Hendrix"/>
    <x v="0"/>
    <n v="47"/>
    <x v="13"/>
    <x v="11"/>
    <x v="6"/>
    <n v="8"/>
    <x v="3"/>
    <x v="2"/>
    <n v="4.4000000000000004"/>
    <x v="1"/>
    <n v="0.92"/>
  </r>
  <r>
    <s v="FL250903"/>
    <s v="Jennifer Baker"/>
    <x v="0"/>
    <n v="53"/>
    <x v="13"/>
    <x v="11"/>
    <x v="2"/>
    <n v="22"/>
    <x v="0"/>
    <x v="6"/>
    <n v="0"/>
    <x v="0"/>
    <m/>
  </r>
  <r>
    <s v="FL250904"/>
    <s v="Kim Martinez"/>
    <x v="0"/>
    <n v="53"/>
    <x v="8"/>
    <x v="6"/>
    <x v="1"/>
    <n v="14"/>
    <x v="2"/>
    <x v="6"/>
    <n v="1.3"/>
    <x v="0"/>
    <m/>
  </r>
  <r>
    <s v="FL250905"/>
    <s v="Andrew Little"/>
    <x v="1"/>
    <n v="21"/>
    <x v="10"/>
    <x v="8"/>
    <x v="5"/>
    <n v="6"/>
    <x v="3"/>
    <x v="1"/>
    <n v="2.6"/>
    <x v="0"/>
    <n v="0.86"/>
  </r>
  <r>
    <s v="FL250906"/>
    <s v="Kelly Shelton"/>
    <x v="0"/>
    <n v="35"/>
    <x v="7"/>
    <x v="1"/>
    <x v="0"/>
    <n v="14"/>
    <x v="2"/>
    <x v="5"/>
    <m/>
    <x v="1"/>
    <n v="0.85"/>
  </r>
  <r>
    <s v="FL250907"/>
    <s v="Steven Duncan"/>
    <x v="1"/>
    <n v="31"/>
    <x v="8"/>
    <x v="6"/>
    <x v="9"/>
    <n v="2"/>
    <x v="1"/>
    <x v="2"/>
    <n v="1.2"/>
    <x v="0"/>
    <n v="0.62"/>
  </r>
  <r>
    <s v="FL250908"/>
    <s v="Kristen Haney"/>
    <x v="0"/>
    <n v="55"/>
    <x v="12"/>
    <x v="10"/>
    <x v="4"/>
    <n v="4"/>
    <x v="1"/>
    <x v="3"/>
    <n v="3.1"/>
    <x v="1"/>
    <n v="0.91"/>
  </r>
  <r>
    <s v="FL250909"/>
    <s v="Kathy Reese"/>
    <x v="0"/>
    <n v="59"/>
    <x v="6"/>
    <x v="5"/>
    <x v="3"/>
    <n v="24"/>
    <x v="0"/>
    <x v="4"/>
    <n v="2.2999999999999998"/>
    <x v="1"/>
    <n v="0.8"/>
  </r>
  <r>
    <s v="FL250910"/>
    <s v="Steven Murphy"/>
    <x v="1"/>
    <n v="59"/>
    <x v="15"/>
    <x v="12"/>
    <x v="7"/>
    <n v="29"/>
    <x v="0"/>
    <x v="0"/>
    <n v="4"/>
    <x v="0"/>
    <n v="0.72"/>
  </r>
  <r>
    <s v="FL250911"/>
    <s v="William Hartman"/>
    <x v="1"/>
    <n v="47"/>
    <x v="10"/>
    <x v="8"/>
    <x v="0"/>
    <n v="13"/>
    <x v="2"/>
    <x v="4"/>
    <n v="1.9"/>
    <x v="2"/>
    <m/>
  </r>
  <r>
    <s v="FL250912"/>
    <s v="Sonya Haley"/>
    <x v="0"/>
    <n v="53"/>
    <x v="17"/>
    <x v="14"/>
    <x v="9"/>
    <n v="1"/>
    <x v="1"/>
    <x v="4"/>
    <n v="2.4"/>
    <x v="1"/>
    <m/>
  </r>
  <r>
    <s v="FL250913"/>
    <s v="Robert Evans"/>
    <x v="1"/>
    <n v="49"/>
    <x v="17"/>
    <x v="14"/>
    <x v="5"/>
    <m/>
    <x v="1"/>
    <x v="3"/>
    <m/>
    <x v="1"/>
    <n v="0.74"/>
  </r>
  <r>
    <s v="FL250914"/>
    <s v="Patricia Richardson"/>
    <x v="0"/>
    <n v="50"/>
    <x v="17"/>
    <x v="14"/>
    <x v="1"/>
    <n v="15"/>
    <x v="2"/>
    <x v="1"/>
    <n v="3.7"/>
    <x v="1"/>
    <n v="0.82"/>
  </r>
  <r>
    <s v="FL250915"/>
    <s v="Carolyn Lopez"/>
    <x v="0"/>
    <n v="59"/>
    <x v="12"/>
    <x v="10"/>
    <x v="9"/>
    <n v="2"/>
    <x v="1"/>
    <x v="0"/>
    <n v="1.1000000000000001"/>
    <x v="0"/>
    <n v="0.85"/>
  </r>
  <r>
    <s v="FL250916"/>
    <s v="Kyle Burns"/>
    <x v="1"/>
    <n v="33"/>
    <x v="6"/>
    <x v="5"/>
    <x v="5"/>
    <n v="14"/>
    <x v="2"/>
    <x v="4"/>
    <n v="2.2999999999999998"/>
    <x v="1"/>
    <n v="0.68"/>
  </r>
  <r>
    <s v="FL250917"/>
    <s v="Margaret Garcia"/>
    <x v="0"/>
    <n v="45"/>
    <x v="14"/>
    <x v="1"/>
    <x v="3"/>
    <n v="0"/>
    <x v="1"/>
    <x v="2"/>
    <n v="3.7"/>
    <x v="1"/>
    <n v="0.99"/>
  </r>
  <r>
    <s v="FL250918"/>
    <s v="Brittany Barker"/>
    <x v="0"/>
    <n v="36"/>
    <x v="0"/>
    <x v="0"/>
    <x v="2"/>
    <n v="15"/>
    <x v="2"/>
    <x v="3"/>
    <n v="1.9"/>
    <x v="0"/>
    <n v="0.62"/>
  </r>
  <r>
    <s v="FL250919"/>
    <s v="Paul Campbell"/>
    <x v="1"/>
    <n v="46"/>
    <x v="17"/>
    <x v="14"/>
    <x v="6"/>
    <n v="6"/>
    <x v="3"/>
    <x v="3"/>
    <n v="1.5"/>
    <x v="0"/>
    <m/>
  </r>
  <r>
    <s v="FL250920"/>
    <s v="Amy Morrow"/>
    <x v="0"/>
    <n v="53"/>
    <x v="6"/>
    <x v="5"/>
    <x v="2"/>
    <n v="11"/>
    <x v="2"/>
    <x v="3"/>
    <n v="0"/>
    <x v="0"/>
    <n v="0.83"/>
  </r>
  <r>
    <s v="FL250921"/>
    <s v="Amy Fitzgerald"/>
    <x v="0"/>
    <n v="24"/>
    <x v="5"/>
    <x v="1"/>
    <x v="3"/>
    <n v="8"/>
    <x v="3"/>
    <x v="3"/>
    <n v="3.6"/>
    <x v="2"/>
    <n v="0.92"/>
  </r>
  <r>
    <s v="FL250922"/>
    <s v="Anita Becker"/>
    <x v="0"/>
    <n v="49"/>
    <x v="20"/>
    <x v="6"/>
    <x v="8"/>
    <n v="3"/>
    <x v="1"/>
    <x v="4"/>
    <n v="2.1"/>
    <x v="2"/>
    <n v="0.85"/>
  </r>
  <r>
    <s v="FL250923"/>
    <s v="Amy Brooks"/>
    <x v="0"/>
    <n v="49"/>
    <x v="12"/>
    <x v="10"/>
    <x v="4"/>
    <n v="0"/>
    <x v="1"/>
    <x v="4"/>
    <n v="2.9"/>
    <x v="0"/>
    <m/>
  </r>
  <r>
    <s v="FL250924"/>
    <s v="Lori Marshall"/>
    <x v="0"/>
    <n v="49"/>
    <x v="12"/>
    <x v="10"/>
    <x v="1"/>
    <n v="7"/>
    <x v="3"/>
    <x v="0"/>
    <n v="3.6"/>
    <x v="1"/>
    <m/>
  </r>
  <r>
    <s v="FL250925"/>
    <s v="Jennifer Miller"/>
    <x v="0"/>
    <n v="58"/>
    <x v="11"/>
    <x v="9"/>
    <x v="0"/>
    <n v="6"/>
    <x v="3"/>
    <x v="3"/>
    <n v="3.3"/>
    <x v="1"/>
    <n v="0.89"/>
  </r>
  <r>
    <s v="FL250926"/>
    <s v="Thomas Young"/>
    <x v="1"/>
    <n v="50"/>
    <x v="17"/>
    <x v="14"/>
    <x v="6"/>
    <n v="9"/>
    <x v="3"/>
    <x v="5"/>
    <n v="2.5"/>
    <x v="1"/>
    <n v="0.81"/>
  </r>
  <r>
    <s v="FL250927"/>
    <s v="Zachary Larsen"/>
    <x v="1"/>
    <n v="27"/>
    <x v="17"/>
    <x v="14"/>
    <x v="8"/>
    <n v="15"/>
    <x v="2"/>
    <x v="0"/>
    <n v="3.7"/>
    <x v="1"/>
    <n v="0.61"/>
  </r>
  <r>
    <s v="FL250928"/>
    <s v="Valerie Gutierrez"/>
    <x v="0"/>
    <n v="20"/>
    <x v="12"/>
    <x v="10"/>
    <x v="9"/>
    <n v="20"/>
    <x v="4"/>
    <x v="3"/>
    <n v="4.5999999999999996"/>
    <x v="1"/>
    <m/>
  </r>
  <r>
    <s v="FL250929"/>
    <s v="Daniel Parker"/>
    <x v="1"/>
    <n v="52"/>
    <x v="13"/>
    <x v="11"/>
    <x v="0"/>
    <n v="16"/>
    <x v="4"/>
    <x v="2"/>
    <n v="0"/>
    <x v="1"/>
    <n v="0.92"/>
  </r>
  <r>
    <s v="FL250930"/>
    <s v="Nicole Bennett"/>
    <x v="0"/>
    <n v="22"/>
    <x v="15"/>
    <x v="12"/>
    <x v="9"/>
    <n v="22"/>
    <x v="0"/>
    <x v="3"/>
    <n v="2"/>
    <x v="0"/>
    <n v="0.96"/>
  </r>
  <r>
    <s v="FL250931"/>
    <s v="Lauren Lowery"/>
    <x v="0"/>
    <n v="38"/>
    <x v="6"/>
    <x v="5"/>
    <x v="3"/>
    <n v="2"/>
    <x v="1"/>
    <x v="0"/>
    <n v="1.7"/>
    <x v="0"/>
    <n v="0.66"/>
  </r>
  <r>
    <s v="FL250932"/>
    <s v="Alexander Woodward"/>
    <x v="1"/>
    <n v="21"/>
    <x v="14"/>
    <x v="1"/>
    <x v="2"/>
    <n v="1"/>
    <x v="1"/>
    <x v="0"/>
    <n v="3"/>
    <x v="0"/>
    <n v="0.64"/>
  </r>
  <r>
    <s v="FL250933"/>
    <s v="Anthony Walter"/>
    <x v="1"/>
    <n v="41"/>
    <x v="1"/>
    <x v="1"/>
    <x v="4"/>
    <n v="8"/>
    <x v="3"/>
    <x v="2"/>
    <n v="3.4"/>
    <x v="0"/>
    <n v="1"/>
  </r>
  <r>
    <s v="FL250934"/>
    <s v="Valerie Finley"/>
    <x v="0"/>
    <n v="33"/>
    <x v="4"/>
    <x v="4"/>
    <x v="0"/>
    <n v="8"/>
    <x v="3"/>
    <x v="2"/>
    <n v="3.2"/>
    <x v="1"/>
    <n v="0.95"/>
  </r>
  <r>
    <s v="FL250935"/>
    <s v="Deborah Kelley"/>
    <x v="0"/>
    <n v="38"/>
    <x v="19"/>
    <x v="6"/>
    <x v="1"/>
    <n v="7"/>
    <x v="3"/>
    <x v="5"/>
    <n v="2.8"/>
    <x v="2"/>
    <n v="0.91"/>
  </r>
  <r>
    <s v="FL250936"/>
    <s v="Kristina Miller"/>
    <x v="0"/>
    <n v="26"/>
    <x v="13"/>
    <x v="11"/>
    <x v="8"/>
    <n v="8"/>
    <x v="3"/>
    <x v="6"/>
    <n v="4.0999999999999996"/>
    <x v="1"/>
    <n v="0.82"/>
  </r>
  <r>
    <s v="FL250937"/>
    <s v="Anne Hampton"/>
    <x v="0"/>
    <n v="43"/>
    <x v="3"/>
    <x v="3"/>
    <x v="4"/>
    <n v="6"/>
    <x v="3"/>
    <x v="6"/>
    <n v="0"/>
    <x v="1"/>
    <n v="0.95"/>
  </r>
  <r>
    <s v="FL250938"/>
    <s v="Sandra Henry"/>
    <x v="0"/>
    <n v="21"/>
    <x v="0"/>
    <x v="0"/>
    <x v="7"/>
    <n v="16"/>
    <x v="4"/>
    <x v="5"/>
    <n v="0"/>
    <x v="1"/>
    <n v="0.95"/>
  </r>
  <r>
    <s v="FL250939"/>
    <s v="Tony Hester"/>
    <x v="1"/>
    <n v="47"/>
    <x v="12"/>
    <x v="10"/>
    <x v="1"/>
    <n v="40"/>
    <x v="0"/>
    <x v="3"/>
    <m/>
    <x v="2"/>
    <n v="0.69"/>
  </r>
  <r>
    <s v="FL250940"/>
    <s v="Nathan Davis"/>
    <x v="1"/>
    <n v="35"/>
    <x v="20"/>
    <x v="6"/>
    <x v="2"/>
    <n v="6"/>
    <x v="3"/>
    <x v="2"/>
    <m/>
    <x v="1"/>
    <n v="0.91"/>
  </r>
  <r>
    <s v="FL250941"/>
    <s v="Erica Jackson"/>
    <x v="0"/>
    <n v="37"/>
    <x v="4"/>
    <x v="4"/>
    <x v="1"/>
    <n v="3"/>
    <x v="1"/>
    <x v="3"/>
    <n v="2.7"/>
    <x v="1"/>
    <m/>
  </r>
  <r>
    <s v="FL250942"/>
    <s v="Nancy Glover"/>
    <x v="0"/>
    <n v="38"/>
    <x v="11"/>
    <x v="9"/>
    <x v="4"/>
    <n v="5"/>
    <x v="1"/>
    <x v="2"/>
    <n v="4"/>
    <x v="2"/>
    <n v="0.62"/>
  </r>
  <r>
    <s v="FL250943"/>
    <s v="Richard Sanchez"/>
    <x v="1"/>
    <n v="40"/>
    <x v="14"/>
    <x v="1"/>
    <x v="5"/>
    <n v="12"/>
    <x v="2"/>
    <x v="6"/>
    <n v="2.5"/>
    <x v="0"/>
    <n v="0.81"/>
  </r>
  <r>
    <s v="FL250944"/>
    <s v="Savannah Reid"/>
    <x v="0"/>
    <n v="46"/>
    <x v="11"/>
    <x v="9"/>
    <x v="5"/>
    <n v="33"/>
    <x v="0"/>
    <x v="4"/>
    <n v="0"/>
    <x v="0"/>
    <n v="0.94"/>
  </r>
  <r>
    <s v="FL250945"/>
    <s v="Robert Salazar"/>
    <x v="1"/>
    <n v="56"/>
    <x v="16"/>
    <x v="13"/>
    <x v="8"/>
    <n v="1"/>
    <x v="1"/>
    <x v="3"/>
    <m/>
    <x v="0"/>
    <n v="0.95"/>
  </r>
  <r>
    <s v="FL250946"/>
    <s v="Hector Greer"/>
    <x v="1"/>
    <n v="24"/>
    <x v="6"/>
    <x v="5"/>
    <x v="2"/>
    <n v="27"/>
    <x v="0"/>
    <x v="5"/>
    <n v="1.6"/>
    <x v="0"/>
    <n v="1"/>
  </r>
  <r>
    <s v="FL250947"/>
    <s v="Thomas Jackson"/>
    <x v="1"/>
    <m/>
    <x v="19"/>
    <x v="6"/>
    <x v="4"/>
    <n v="1"/>
    <x v="1"/>
    <x v="4"/>
    <n v="0"/>
    <x v="1"/>
    <n v="0.94"/>
  </r>
  <r>
    <s v="FL250948"/>
    <s v="Tina Clark"/>
    <x v="0"/>
    <n v="38"/>
    <x v="6"/>
    <x v="5"/>
    <x v="1"/>
    <m/>
    <x v="1"/>
    <x v="3"/>
    <n v="4"/>
    <x v="1"/>
    <n v="0.92"/>
  </r>
  <r>
    <s v="FL250949"/>
    <s v="Heather Brown"/>
    <x v="0"/>
    <n v="28"/>
    <x v="15"/>
    <x v="12"/>
    <x v="8"/>
    <n v="40"/>
    <x v="0"/>
    <x v="1"/>
    <n v="2.5"/>
    <x v="1"/>
    <n v="0.95"/>
  </r>
  <r>
    <s v="FL250950"/>
    <s v="John Weaver"/>
    <x v="1"/>
    <n v="25"/>
    <x v="11"/>
    <x v="9"/>
    <x v="8"/>
    <n v="4"/>
    <x v="1"/>
    <x v="6"/>
    <n v="3.8"/>
    <x v="2"/>
    <n v="0.97"/>
  </r>
  <r>
    <s v="FL250951"/>
    <s v="Bradley Harris"/>
    <x v="1"/>
    <n v="41"/>
    <x v="7"/>
    <x v="1"/>
    <x v="8"/>
    <n v="9"/>
    <x v="3"/>
    <x v="1"/>
    <n v="4.8"/>
    <x v="0"/>
    <n v="0.75"/>
  </r>
  <r>
    <s v="FL250952"/>
    <s v="Cassandra Macdonald"/>
    <x v="0"/>
    <n v="45"/>
    <x v="19"/>
    <x v="6"/>
    <x v="5"/>
    <n v="13"/>
    <x v="2"/>
    <x v="2"/>
    <n v="2"/>
    <x v="1"/>
    <n v="0.78"/>
  </r>
  <r>
    <s v="FL250953"/>
    <s v="Matthew White"/>
    <x v="1"/>
    <n v="47"/>
    <x v="6"/>
    <x v="5"/>
    <x v="8"/>
    <n v="1"/>
    <x v="1"/>
    <x v="0"/>
    <n v="3.3"/>
    <x v="0"/>
    <n v="0.65"/>
  </r>
  <r>
    <s v="FL250954"/>
    <s v="Kimberly Marshall"/>
    <x v="0"/>
    <n v="59"/>
    <x v="7"/>
    <x v="1"/>
    <x v="5"/>
    <n v="1"/>
    <x v="1"/>
    <x v="2"/>
    <n v="2.5"/>
    <x v="1"/>
    <n v="0.7"/>
  </r>
  <r>
    <s v="FL250955"/>
    <s v="Laura Thompson"/>
    <x v="0"/>
    <n v="25"/>
    <x v="14"/>
    <x v="1"/>
    <x v="0"/>
    <n v="3"/>
    <x v="1"/>
    <x v="0"/>
    <m/>
    <x v="1"/>
    <n v="0.78"/>
  </r>
  <r>
    <s v="FL250956"/>
    <s v="Nathan Soto"/>
    <x v="1"/>
    <n v="27"/>
    <x v="1"/>
    <x v="1"/>
    <x v="3"/>
    <n v="1"/>
    <x v="1"/>
    <x v="1"/>
    <m/>
    <x v="1"/>
    <n v="0.96"/>
  </r>
  <r>
    <s v="FL250957"/>
    <s v="Rhonda Hines"/>
    <x v="0"/>
    <n v="57"/>
    <x v="1"/>
    <x v="1"/>
    <x v="4"/>
    <n v="3"/>
    <x v="1"/>
    <x v="0"/>
    <n v="0"/>
    <x v="1"/>
    <n v="0.8"/>
  </r>
  <r>
    <s v="FL250958"/>
    <s v="Gabrielle Bowman"/>
    <x v="0"/>
    <n v="34"/>
    <x v="6"/>
    <x v="5"/>
    <x v="6"/>
    <n v="14"/>
    <x v="2"/>
    <x v="6"/>
    <n v="1.6"/>
    <x v="1"/>
    <n v="0.64"/>
  </r>
  <r>
    <s v="FL250959"/>
    <s v="Julian Edwards"/>
    <x v="1"/>
    <n v="55"/>
    <x v="15"/>
    <x v="12"/>
    <x v="6"/>
    <n v="2"/>
    <x v="1"/>
    <x v="1"/>
    <n v="0"/>
    <x v="0"/>
    <n v="0.92"/>
  </r>
  <r>
    <s v="FL250960"/>
    <s v="Nicholas Scott"/>
    <x v="1"/>
    <n v="21"/>
    <x v="16"/>
    <x v="13"/>
    <x v="0"/>
    <n v="27"/>
    <x v="0"/>
    <x v="0"/>
    <n v="0"/>
    <x v="1"/>
    <m/>
  </r>
  <r>
    <s v="FL250961"/>
    <s v="Daniel Green"/>
    <x v="1"/>
    <n v="53"/>
    <x v="3"/>
    <x v="3"/>
    <x v="8"/>
    <n v="7"/>
    <x v="3"/>
    <x v="6"/>
    <n v="4.7"/>
    <x v="1"/>
    <n v="0.71"/>
  </r>
  <r>
    <s v="FL250962"/>
    <s v="Catherine Johnston"/>
    <x v="0"/>
    <n v="21"/>
    <x v="2"/>
    <x v="2"/>
    <x v="6"/>
    <n v="29"/>
    <x v="0"/>
    <x v="0"/>
    <n v="0"/>
    <x v="1"/>
    <n v="0.95"/>
  </r>
  <r>
    <s v="FL250963"/>
    <s v="Brenda Koch"/>
    <x v="0"/>
    <n v="36"/>
    <x v="11"/>
    <x v="9"/>
    <x v="3"/>
    <n v="5"/>
    <x v="1"/>
    <x v="6"/>
    <n v="4.0999999999999996"/>
    <x v="0"/>
    <n v="0.86"/>
  </r>
  <r>
    <s v="FL250964"/>
    <s v="Robert Meza"/>
    <x v="1"/>
    <n v="40"/>
    <x v="2"/>
    <x v="2"/>
    <x v="4"/>
    <n v="2"/>
    <x v="1"/>
    <x v="3"/>
    <n v="1.3"/>
    <x v="1"/>
    <n v="0.77"/>
  </r>
  <r>
    <s v="FL250965"/>
    <s v="Latoya Brown"/>
    <x v="0"/>
    <n v="59"/>
    <x v="7"/>
    <x v="1"/>
    <x v="6"/>
    <n v="18"/>
    <x v="4"/>
    <x v="0"/>
    <n v="2.6"/>
    <x v="2"/>
    <m/>
  </r>
  <r>
    <s v="FL250966"/>
    <s v="David Osborne III"/>
    <x v="1"/>
    <n v="45"/>
    <x v="3"/>
    <x v="3"/>
    <x v="7"/>
    <n v="8"/>
    <x v="3"/>
    <x v="6"/>
    <n v="2.7"/>
    <x v="2"/>
    <n v="0.72"/>
  </r>
  <r>
    <s v="FL250967"/>
    <s v="David Hooper"/>
    <x v="1"/>
    <n v="44"/>
    <x v="12"/>
    <x v="10"/>
    <x v="9"/>
    <n v="0"/>
    <x v="1"/>
    <x v="2"/>
    <m/>
    <x v="0"/>
    <n v="0.7"/>
  </r>
  <r>
    <s v="FL250968"/>
    <s v="Sarah Miller"/>
    <x v="0"/>
    <n v="36"/>
    <x v="7"/>
    <x v="1"/>
    <x v="7"/>
    <n v="16"/>
    <x v="4"/>
    <x v="3"/>
    <n v="3.6"/>
    <x v="0"/>
    <n v="0.86"/>
  </r>
  <r>
    <s v="FL250969"/>
    <s v="Lisa Werner"/>
    <x v="0"/>
    <n v="26"/>
    <x v="10"/>
    <x v="8"/>
    <x v="2"/>
    <n v="8"/>
    <x v="3"/>
    <x v="4"/>
    <n v="3"/>
    <x v="1"/>
    <m/>
  </r>
  <r>
    <s v="FL250970"/>
    <s v="Eric Jimenez"/>
    <x v="1"/>
    <n v="49"/>
    <x v="10"/>
    <x v="8"/>
    <x v="3"/>
    <n v="39"/>
    <x v="0"/>
    <x v="5"/>
    <n v="0"/>
    <x v="0"/>
    <n v="0.82"/>
  </r>
  <r>
    <s v="FL250971"/>
    <s v="Jay Bush"/>
    <x v="1"/>
    <n v="29"/>
    <x v="15"/>
    <x v="12"/>
    <x v="1"/>
    <m/>
    <x v="1"/>
    <x v="2"/>
    <n v="0"/>
    <x v="1"/>
    <n v="0.81"/>
  </r>
  <r>
    <s v="FL250972"/>
    <s v="Johnny Rice"/>
    <x v="1"/>
    <n v="32"/>
    <x v="15"/>
    <x v="12"/>
    <x v="2"/>
    <n v="16"/>
    <x v="4"/>
    <x v="2"/>
    <n v="3.1"/>
    <x v="1"/>
    <n v="0.76"/>
  </r>
  <r>
    <s v="FL250973"/>
    <s v="Matthew Strong"/>
    <x v="1"/>
    <n v="24"/>
    <x v="4"/>
    <x v="4"/>
    <x v="0"/>
    <n v="4"/>
    <x v="1"/>
    <x v="3"/>
    <n v="3.9"/>
    <x v="0"/>
    <n v="0.9"/>
  </r>
  <r>
    <s v="FL250974"/>
    <s v="Mark Chandler"/>
    <x v="1"/>
    <n v="35"/>
    <x v="12"/>
    <x v="10"/>
    <x v="8"/>
    <n v="4"/>
    <x v="1"/>
    <x v="3"/>
    <n v="1.6"/>
    <x v="1"/>
    <n v="0.67"/>
  </r>
  <r>
    <s v="FL250975"/>
    <s v="Crystal Brown"/>
    <x v="0"/>
    <n v="43"/>
    <x v="20"/>
    <x v="6"/>
    <x v="0"/>
    <n v="2"/>
    <x v="1"/>
    <x v="5"/>
    <n v="1.8"/>
    <x v="0"/>
    <n v="0.61"/>
  </r>
  <r>
    <s v="FL250976"/>
    <s v="Timothy Barton"/>
    <x v="1"/>
    <n v="53"/>
    <x v="12"/>
    <x v="10"/>
    <x v="9"/>
    <n v="37"/>
    <x v="0"/>
    <x v="0"/>
    <n v="3.7"/>
    <x v="0"/>
    <n v="0.73"/>
  </r>
  <r>
    <s v="FL250977"/>
    <s v="Lisa Hickman"/>
    <x v="0"/>
    <n v="38"/>
    <x v="13"/>
    <x v="11"/>
    <x v="8"/>
    <n v="32"/>
    <x v="0"/>
    <x v="4"/>
    <m/>
    <x v="0"/>
    <m/>
  </r>
  <r>
    <s v="FL250978"/>
    <s v="Alan Mendoza"/>
    <x v="1"/>
    <n v="57"/>
    <x v="7"/>
    <x v="1"/>
    <x v="7"/>
    <n v="8"/>
    <x v="3"/>
    <x v="4"/>
    <n v="4.0999999999999996"/>
    <x v="0"/>
    <n v="0.9"/>
  </r>
  <r>
    <s v="FL250979"/>
    <s v="Jason Sanders"/>
    <x v="1"/>
    <n v="27"/>
    <x v="18"/>
    <x v="15"/>
    <x v="0"/>
    <n v="8"/>
    <x v="3"/>
    <x v="4"/>
    <n v="1.4"/>
    <x v="1"/>
    <n v="0.64"/>
  </r>
  <r>
    <s v="FL250980"/>
    <s v="Charles Dean"/>
    <x v="1"/>
    <n v="43"/>
    <x v="8"/>
    <x v="6"/>
    <x v="3"/>
    <n v="13"/>
    <x v="2"/>
    <x v="0"/>
    <n v="1.1000000000000001"/>
    <x v="1"/>
    <n v="0.63"/>
  </r>
  <r>
    <s v="FL250981"/>
    <s v="Blake Newton"/>
    <x v="1"/>
    <n v="48"/>
    <x v="14"/>
    <x v="1"/>
    <x v="5"/>
    <n v="6"/>
    <x v="3"/>
    <x v="2"/>
    <n v="3.9"/>
    <x v="2"/>
    <m/>
  </r>
  <r>
    <s v="FL250982"/>
    <s v="David Gonzalez"/>
    <x v="1"/>
    <n v="26"/>
    <x v="11"/>
    <x v="9"/>
    <x v="7"/>
    <n v="15"/>
    <x v="2"/>
    <x v="6"/>
    <n v="3.6"/>
    <x v="0"/>
    <n v="0.67"/>
  </r>
  <r>
    <s v="FL250983"/>
    <s v="Cindy Williams"/>
    <x v="0"/>
    <m/>
    <x v="17"/>
    <x v="14"/>
    <x v="2"/>
    <n v="22"/>
    <x v="0"/>
    <x v="2"/>
    <n v="0"/>
    <x v="0"/>
    <n v="0.97"/>
  </r>
  <r>
    <s v="FL250984"/>
    <s v="Laura Wong"/>
    <x v="0"/>
    <n v="50"/>
    <x v="0"/>
    <x v="0"/>
    <x v="5"/>
    <n v="18"/>
    <x v="4"/>
    <x v="4"/>
    <n v="4.5"/>
    <x v="0"/>
    <n v="0.69"/>
  </r>
  <r>
    <s v="FL250985"/>
    <s v="Robert Moran"/>
    <x v="1"/>
    <n v="48"/>
    <x v="17"/>
    <x v="14"/>
    <x v="3"/>
    <m/>
    <x v="1"/>
    <x v="1"/>
    <m/>
    <x v="1"/>
    <n v="0.73"/>
  </r>
  <r>
    <s v="FL250986"/>
    <s v="Bradley Wu"/>
    <x v="1"/>
    <n v="60"/>
    <x v="20"/>
    <x v="6"/>
    <x v="0"/>
    <m/>
    <x v="1"/>
    <x v="6"/>
    <n v="1.4"/>
    <x v="1"/>
    <n v="0.86"/>
  </r>
  <r>
    <s v="FL250987"/>
    <s v="Daniel Thomas"/>
    <x v="1"/>
    <n v="26"/>
    <x v="16"/>
    <x v="13"/>
    <x v="9"/>
    <m/>
    <x v="1"/>
    <x v="1"/>
    <n v="0"/>
    <x v="1"/>
    <n v="0.81"/>
  </r>
  <r>
    <s v="FL250988"/>
    <s v="Michelle Peterson"/>
    <x v="0"/>
    <n v="35"/>
    <x v="12"/>
    <x v="10"/>
    <x v="2"/>
    <m/>
    <x v="1"/>
    <x v="0"/>
    <n v="4.3"/>
    <x v="1"/>
    <n v="0.74"/>
  </r>
  <r>
    <s v="FL250989"/>
    <s v="Seth Thomas"/>
    <x v="1"/>
    <n v="23"/>
    <x v="5"/>
    <x v="1"/>
    <x v="0"/>
    <m/>
    <x v="1"/>
    <x v="0"/>
    <n v="2.2000000000000002"/>
    <x v="1"/>
    <n v="0.64"/>
  </r>
  <r>
    <s v="FL250990"/>
    <s v="Evan Ramos"/>
    <x v="1"/>
    <n v="37"/>
    <x v="1"/>
    <x v="1"/>
    <x v="2"/>
    <m/>
    <x v="1"/>
    <x v="4"/>
    <n v="3.2"/>
    <x v="0"/>
    <n v="0.76"/>
  </r>
  <r>
    <s v="FL250991"/>
    <s v="Michelle Solis"/>
    <x v="0"/>
    <n v="21"/>
    <x v="8"/>
    <x v="6"/>
    <x v="4"/>
    <m/>
    <x v="1"/>
    <x v="0"/>
    <n v="3.7"/>
    <x v="1"/>
    <n v="0.73"/>
  </r>
  <r>
    <s v="FL250992"/>
    <s v="Charlotte Taylor"/>
    <x v="0"/>
    <n v="58"/>
    <x v="2"/>
    <x v="2"/>
    <x v="6"/>
    <m/>
    <x v="1"/>
    <x v="1"/>
    <n v="4.9000000000000004"/>
    <x v="0"/>
    <n v="0.69"/>
  </r>
  <r>
    <s v="FL250993"/>
    <s v="Sandra Preston"/>
    <x v="0"/>
    <n v="52"/>
    <x v="4"/>
    <x v="4"/>
    <x v="1"/>
    <m/>
    <x v="1"/>
    <x v="4"/>
    <n v="3.2"/>
    <x v="0"/>
    <n v="0.79"/>
  </r>
  <r>
    <s v="FL250994"/>
    <s v="Jim Weiss"/>
    <x v="1"/>
    <n v="46"/>
    <x v="13"/>
    <x v="11"/>
    <x v="1"/>
    <m/>
    <x v="1"/>
    <x v="6"/>
    <n v="2.2000000000000002"/>
    <x v="2"/>
    <n v="0.89"/>
  </r>
  <r>
    <s v="FL250995"/>
    <s v="Jennifer Hinton"/>
    <x v="0"/>
    <n v="34"/>
    <x v="17"/>
    <x v="14"/>
    <x v="8"/>
    <m/>
    <x v="1"/>
    <x v="3"/>
    <n v="3.9"/>
    <x v="1"/>
    <n v="0.95"/>
  </r>
  <r>
    <s v="FL250996"/>
    <s v="Albert Wilcox"/>
    <x v="1"/>
    <n v="56"/>
    <x v="6"/>
    <x v="5"/>
    <x v="8"/>
    <m/>
    <x v="1"/>
    <x v="0"/>
    <n v="0"/>
    <x v="0"/>
    <n v="0.68"/>
  </r>
  <r>
    <s v="FL250997"/>
    <s v="Cheryl Norris"/>
    <x v="0"/>
    <n v="26"/>
    <x v="2"/>
    <x v="2"/>
    <x v="0"/>
    <m/>
    <x v="1"/>
    <x v="2"/>
    <n v="2.8"/>
    <x v="0"/>
    <n v="0.82"/>
  </r>
  <r>
    <s v="FL250998"/>
    <s v="Kathy Watkins"/>
    <x v="0"/>
    <n v="37"/>
    <x v="9"/>
    <x v="7"/>
    <x v="5"/>
    <m/>
    <x v="1"/>
    <x v="4"/>
    <m/>
    <x v="0"/>
    <n v="0.94"/>
  </r>
  <r>
    <s v="FL250999"/>
    <s v="John Obrien"/>
    <x v="1"/>
    <n v="46"/>
    <x v="13"/>
    <x v="11"/>
    <x v="9"/>
    <m/>
    <x v="1"/>
    <x v="0"/>
    <n v="2.8"/>
    <x v="1"/>
    <n v="0.97"/>
  </r>
  <r>
    <s v="FL251000"/>
    <s v="Dawn Green"/>
    <x v="0"/>
    <n v="36"/>
    <x v="19"/>
    <x v="6"/>
    <x v="6"/>
    <m/>
    <x v="1"/>
    <x v="6"/>
    <n v="1.7"/>
    <x v="1"/>
    <n v="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D7960-0F0A-46F3-AA4E-B83543AA687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3:L20" firstHeaderRow="1" firstDataRow="1" firstDataCol="1"/>
  <pivotFields count="13">
    <pivotField dataField="1" showAll="0"/>
    <pivotField showAll="0"/>
    <pivotField showAll="0"/>
    <pivotField showAll="0"/>
    <pivotField showAll="0"/>
    <pivotField axis="axisRow"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1"/>
        <item x="3"/>
        <item x="2"/>
        <item x="4"/>
        <item x="0"/>
        <item t="default"/>
      </items>
    </pivotField>
    <pivotField showAll="0">
      <items count="8">
        <item x="0"/>
        <item x="4"/>
        <item x="1"/>
        <item x="2"/>
        <item x="3"/>
        <item x="6"/>
        <item x="5"/>
        <item t="default"/>
      </items>
    </pivotField>
    <pivotField showAll="0"/>
    <pivotField showAll="0">
      <items count="4">
        <item x="1"/>
        <item x="0"/>
        <item x="2"/>
        <item t="default"/>
      </items>
    </pivotField>
    <pivotField showAll="0"/>
  </pivotFields>
  <rowFields count="1">
    <field x="5"/>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0" subtotal="count" baseField="5" baseItem="0"/>
  </dataFields>
  <formats count="3">
    <format dxfId="340">
      <pivotArea outline="0" collapsedLevelsAreSubtotals="1" fieldPosition="0"/>
    </format>
    <format dxfId="339">
      <pivotArea collapsedLevelsAreSubtotals="1" fieldPosition="0">
        <references count="1">
          <reference field="5" count="0"/>
        </references>
      </pivotArea>
    </format>
    <format dxfId="338">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05AE4-621F-42F2-A2A8-6153E6E5714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imary Skill">
  <location ref="H3:I14" firstHeaderRow="1" firstDataRow="1" firstDataCol="1"/>
  <pivotFields count="13">
    <pivotField showAll="0"/>
    <pivotField showAll="0"/>
    <pivotField showAll="0">
      <items count="3">
        <item x="0"/>
        <item x="1"/>
        <item t="default"/>
      </items>
    </pivotField>
    <pivotField showAll="0"/>
    <pivotField showAll="0"/>
    <pivotField showAll="0"/>
    <pivotField axis="axisRow" showAll="0" sortType="descending">
      <items count="11">
        <item x="4"/>
        <item x="0"/>
        <item x="7"/>
        <item x="5"/>
        <item x="8"/>
        <item x="2"/>
        <item x="9"/>
        <item x="1"/>
        <item x="6"/>
        <item x="3"/>
        <item t="default"/>
      </items>
      <autoSortScope>
        <pivotArea dataOnly="0" outline="0" fieldPosition="0">
          <references count="1">
            <reference field="4294967294" count="1" selected="0">
              <x v="0"/>
            </reference>
          </references>
        </pivotArea>
      </autoSortScope>
    </pivotField>
    <pivotField showAll="0"/>
    <pivotField showAll="0">
      <items count="6">
        <item x="1"/>
        <item x="3"/>
        <item x="2"/>
        <item x="4"/>
        <item x="0"/>
        <item t="default"/>
      </items>
    </pivotField>
    <pivotField dataField="1" showAll="0">
      <items count="8">
        <item x="0"/>
        <item x="4"/>
        <item x="1"/>
        <item x="2"/>
        <item x="3"/>
        <item x="6"/>
        <item x="5"/>
        <item t="default"/>
      </items>
    </pivotField>
    <pivotField showAll="0"/>
    <pivotField showAll="0">
      <items count="4">
        <item x="1"/>
        <item x="0"/>
        <item x="2"/>
        <item t="default"/>
      </items>
    </pivotField>
    <pivotField showAll="0"/>
  </pivotFields>
  <rowFields count="1">
    <field x="6"/>
  </rowFields>
  <rowItems count="11">
    <i>
      <x v="2"/>
    </i>
    <i>
      <x v="9"/>
    </i>
    <i>
      <x v="4"/>
    </i>
    <i>
      <x v="8"/>
    </i>
    <i>
      <x/>
    </i>
    <i>
      <x v="6"/>
    </i>
    <i>
      <x v="3"/>
    </i>
    <i>
      <x v="7"/>
    </i>
    <i>
      <x v="5"/>
    </i>
    <i>
      <x v="1"/>
    </i>
    <i t="grand">
      <x/>
    </i>
  </rowItems>
  <colItems count="1">
    <i/>
  </colItems>
  <dataFields count="1">
    <dataField name="Average of Hourly Rate" fld="9" subtotal="average" baseField="6" baseItem="0"/>
  </dataFields>
  <formats count="2">
    <format dxfId="342">
      <pivotArea outline="0" collapsedLevelsAreSubtotals="1" fieldPosition="0"/>
    </format>
    <format dxfId="341">
      <pivotArea grandRow="1"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75F0C-E1EE-452F-983C-BC21A46D254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Years of exp">
  <location ref="E3:F9" firstHeaderRow="1" firstDataRow="1" firstDataCol="1"/>
  <pivotFields count="13">
    <pivotField dataField="1" showAll="0"/>
    <pivotField showAll="0"/>
    <pivotField showAll="0"/>
    <pivotField showAll="0"/>
    <pivotField showAll="0"/>
    <pivotField showAll="0"/>
    <pivotField showAll="0">
      <items count="11">
        <item x="4"/>
        <item x="0"/>
        <item x="7"/>
        <item x="5"/>
        <item x="8"/>
        <item x="2"/>
        <item x="9"/>
        <item x="1"/>
        <item x="6"/>
        <item x="3"/>
        <item t="default"/>
      </items>
    </pivotField>
    <pivotField showAll="0"/>
    <pivotField axis="axisRow" showAll="0">
      <items count="6">
        <item x="1"/>
        <item x="3"/>
        <item x="2"/>
        <item x="4"/>
        <item x="0"/>
        <item t="default"/>
      </items>
    </pivotField>
    <pivotField showAll="0"/>
    <pivotField showAll="0"/>
    <pivotField showAll="0">
      <items count="4">
        <item x="1"/>
        <item x="0"/>
        <item x="2"/>
        <item t="default"/>
      </items>
    </pivotField>
    <pivotField showAll="0"/>
  </pivotFields>
  <rowFields count="1">
    <field x="8"/>
  </rowFields>
  <rowItems count="6">
    <i>
      <x/>
    </i>
    <i>
      <x v="1"/>
    </i>
    <i>
      <x v="2"/>
    </i>
    <i>
      <x v="3"/>
    </i>
    <i>
      <x v="4"/>
    </i>
    <i t="grand">
      <x/>
    </i>
  </rowItems>
  <colItems count="1">
    <i/>
  </colItems>
  <dataFields count="1">
    <dataField name="Count of Freelancer_ID" fld="0" subtotal="count" showDataAs="percentOfTotal" baseField="8" baseItem="0" numFmtId="10"/>
  </dataFields>
  <formats count="4">
    <format dxfId="346">
      <pivotArea outline="0" collapsedLevelsAreSubtotals="1" fieldPosition="0"/>
    </format>
    <format dxfId="345">
      <pivotArea outline="0" fieldPosition="0">
        <references count="1">
          <reference field="4294967294" count="1">
            <x v="0"/>
          </reference>
        </references>
      </pivotArea>
    </format>
    <format dxfId="344">
      <pivotArea collapsedLevelsAreSubtotals="1" fieldPosition="0">
        <references count="1">
          <reference field="8" count="0"/>
        </references>
      </pivotArea>
    </format>
    <format dxfId="34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0E444-D990-46AC-AE2E-657DD28FB96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imary skill">
  <location ref="B3:C14" firstHeaderRow="1" firstDataRow="1" firstDataCol="1"/>
  <pivotFields count="13">
    <pivotField showAll="0"/>
    <pivotField showAll="0"/>
    <pivotField showAll="0"/>
    <pivotField showAll="0"/>
    <pivotField showAll="0"/>
    <pivotField showAll="0"/>
    <pivotField axis="axisRow" showAll="0" sortType="descending">
      <items count="11">
        <item x="4"/>
        <item x="0"/>
        <item x="7"/>
        <item x="5"/>
        <item x="8"/>
        <item x="2"/>
        <item x="9"/>
        <item x="1"/>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1"/>
        <item x="0"/>
        <item x="2"/>
        <item t="default"/>
      </items>
    </pivotField>
    <pivotField showAll="0"/>
  </pivotFields>
  <rowFields count="1">
    <field x="6"/>
  </rowFields>
  <rowItems count="11">
    <i>
      <x v="4"/>
    </i>
    <i>
      <x v="6"/>
    </i>
    <i>
      <x v="7"/>
    </i>
    <i>
      <x v="8"/>
    </i>
    <i>
      <x v="5"/>
    </i>
    <i>
      <x v="2"/>
    </i>
    <i>
      <x v="9"/>
    </i>
    <i>
      <x v="3"/>
    </i>
    <i>
      <x/>
    </i>
    <i>
      <x v="1"/>
    </i>
    <i t="grand">
      <x/>
    </i>
  </rowItems>
  <colItems count="1">
    <i/>
  </colItems>
  <dataFields count="1">
    <dataField name="Average of Rating" fld="10" subtotal="average" baseField="6" baseItem="0" numFmtId="164"/>
  </dataFields>
  <formats count="1">
    <format dxfId="34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84082F-9BB6-4C01-B4DF-F5C74C38830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Gender">
  <location ref="E16:F19" firstHeaderRow="1" firstDataRow="1" firstDataCol="1"/>
  <pivotFields count="13">
    <pivotField dataField="1" showAll="0"/>
    <pivotField showAll="0"/>
    <pivotField axis="axisRow" showAll="0">
      <items count="3">
        <item x="0"/>
        <item x="1"/>
        <item t="default"/>
      </items>
    </pivotField>
    <pivotField showAll="0"/>
    <pivotField showAll="0"/>
    <pivotField showAll="0"/>
    <pivotField showAll="0">
      <items count="11">
        <item x="4"/>
        <item x="0"/>
        <item x="7"/>
        <item x="5"/>
        <item x="8"/>
        <item x="2"/>
        <item x="9"/>
        <item x="1"/>
        <item x="6"/>
        <item x="3"/>
        <item t="default"/>
      </items>
    </pivotField>
    <pivotField showAll="0"/>
    <pivotField showAll="0">
      <items count="6">
        <item x="1"/>
        <item x="3"/>
        <item x="2"/>
        <item x="4"/>
        <item x="0"/>
        <item t="default"/>
      </items>
    </pivotField>
    <pivotField showAll="0"/>
    <pivotField showAll="0"/>
    <pivotField showAll="0">
      <items count="4">
        <item x="1"/>
        <item x="0"/>
        <item x="2"/>
        <item t="default"/>
      </items>
    </pivotField>
    <pivotField showAll="0"/>
  </pivotFields>
  <rowFields count="1">
    <field x="2"/>
  </rowFields>
  <rowItems count="3">
    <i>
      <x/>
    </i>
    <i>
      <x v="1"/>
    </i>
    <i t="grand">
      <x/>
    </i>
  </rowItems>
  <colItems count="1">
    <i/>
  </colItems>
  <dataFields count="1">
    <dataField name="Count of Freelancer_ID" fld="0" subtotal="count" showDataAs="percentOfTotal" baseField="8" baseItem="0" numFmtId="10"/>
  </dataFields>
  <formats count="4">
    <format dxfId="351">
      <pivotArea outline="0" collapsedLevelsAreSubtotals="1" fieldPosition="0"/>
    </format>
    <format dxfId="350">
      <pivotArea outline="0" fieldPosition="0">
        <references count="1">
          <reference field="4294967294" count="1">
            <x v="0"/>
          </reference>
        </references>
      </pivotArea>
    </format>
    <format dxfId="349">
      <pivotArea grandRow="1" outline="0" collapsedLevelsAreSubtotals="1" fieldPosition="0"/>
    </format>
    <format dxfId="348">
      <pivotArea collapsedLevelsAreSubtotals="1" fieldPosition="0">
        <references count="1">
          <reference field="2" count="0"/>
        </references>
      </pivotArea>
    </format>
  </formats>
  <chartFormats count="5">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A97675-E140-45CC-B703-DB87C555C4C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3:O25" firstHeaderRow="1" firstDataRow="1" firstDataCol="1"/>
  <pivotFields count="13">
    <pivotField dataField="1" showAll="0"/>
    <pivotField showAll="0"/>
    <pivotField showAll="0"/>
    <pivotField showAll="0"/>
    <pivotField axis="axisRow" showAll="0" sortType="descending">
      <items count="22">
        <item x="8"/>
        <item x="1"/>
        <item x="11"/>
        <item x="14"/>
        <item x="18"/>
        <item x="16"/>
        <item x="15"/>
        <item x="2"/>
        <item x="10"/>
        <item x="4"/>
        <item x="0"/>
        <item x="9"/>
        <item x="19"/>
        <item x="3"/>
        <item x="13"/>
        <item x="17"/>
        <item x="12"/>
        <item x="20"/>
        <item x="6"/>
        <item x="7"/>
        <item x="5"/>
        <item t="default"/>
      </items>
      <autoSortScope>
        <pivotArea dataOnly="0" outline="0" fieldPosition="0">
          <references count="1">
            <reference field="4294967294" count="1" selected="0">
              <x v="0"/>
            </reference>
          </references>
        </pivotArea>
      </autoSortScope>
    </pivotField>
    <pivotField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1"/>
        <item x="3"/>
        <item x="2"/>
        <item x="4"/>
        <item x="0"/>
        <item t="default"/>
      </items>
    </pivotField>
    <pivotField showAll="0">
      <items count="8">
        <item x="0"/>
        <item x="4"/>
        <item x="1"/>
        <item x="2"/>
        <item x="3"/>
        <item x="6"/>
        <item x="5"/>
        <item t="default"/>
      </items>
    </pivotField>
    <pivotField showAll="0"/>
    <pivotField showAll="0">
      <items count="4">
        <item x="1"/>
        <item x="0"/>
        <item x="2"/>
        <item t="default"/>
      </items>
    </pivotField>
    <pivotField showAll="0"/>
  </pivotFields>
  <rowFields count="1">
    <field x="4"/>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0" subtotal="count" baseField="5" baseItem="0" numFmtId="1"/>
  </dataFields>
  <formats count="2">
    <format dxfId="353">
      <pivotArea grandRow="1" outline="0" collapsedLevelsAreSubtotals="1" fieldPosition="0"/>
    </format>
    <format dxfId="35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9EEF643E-DAAF-4B5C-B5C1-1C699D08189D}" sourceName="Primary Skill">
  <pivotTables>
    <pivotTable tabId="3" name="PivotTable1"/>
    <pivotTable tabId="3" name="PivotTable2"/>
    <pivotTable tabId="3" name="PivotTable3"/>
    <pivotTable tabId="3" name="PivotTable4"/>
    <pivotTable tabId="3" name="PivotTable5"/>
    <pivotTable tabId="3" name="PivotTable6"/>
  </pivotTables>
  <data>
    <tabular pivotCacheId="988281918">
      <items count="10">
        <i x="4" s="1"/>
        <i x="0" s="1"/>
        <i x="7" s="1"/>
        <i x="5" s="1"/>
        <i x="8" s="1"/>
        <i x="2" s="1"/>
        <i x="9" s="1"/>
        <i x="1"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8E66361-5CFD-4744-8C00-ECE07ACCF72A}" sourceName="Status">
  <pivotTables>
    <pivotTable tabId="3" name="PivotTable1"/>
    <pivotTable tabId="3" name="PivotTable2"/>
    <pivotTable tabId="3" name="PivotTable3"/>
    <pivotTable tabId="3" name="PivotTable4"/>
    <pivotTable tabId="3" name="PivotTable5"/>
    <pivotTable tabId="3" name="PivotTable6"/>
  </pivotTables>
  <data>
    <tabular pivotCacheId="98828191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F55DCD-C002-4567-BFEB-DB7B9E8ECD5B}" sourceName="Gender">
  <pivotTables>
    <pivotTable tabId="3" name="PivotTable3"/>
  </pivotTables>
  <data>
    <tabular pivotCacheId="9882819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7C5CCC37-6A0E-4138-B550-8603D4B8CE94}" cache="Slicer_Primary_Skill" caption="Primary Skill" rowHeight="234950"/>
  <slicer name="Status" xr10:uid="{6230548D-9D7E-4726-A155-A7E59AFA1A7B}" cache="Slicer_Status" caption="Status" rowHeight="234950"/>
  <slicer name="Gender" xr10:uid="{C6692143-69BB-498B-B31E-237DA140F6F1}"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C10" sqref="C10"/>
    </sheetView>
  </sheetViews>
  <sheetFormatPr defaultRowHeight="14.4" x14ac:dyDescent="0.3"/>
  <cols>
    <col min="1" max="1" width="12.109375" bestFit="1" customWidth="1"/>
    <col min="2" max="2" width="22.77734375" bestFit="1" customWidth="1"/>
    <col min="3" max="3" width="22.77734375" customWidth="1"/>
    <col min="4" max="4" width="7.5546875" bestFit="1" customWidth="1"/>
    <col min="5" max="5" width="3.88671875" bestFit="1" customWidth="1"/>
    <col min="6" max="6" width="14" bestFit="1" customWidth="1"/>
    <col min="7" max="7" width="10.109375" bestFit="1" customWidth="1"/>
    <col min="8" max="8" width="21.44140625" bestFit="1" customWidth="1"/>
    <col min="9" max="9" width="18.21875" bestFit="1" customWidth="1"/>
    <col min="10" max="10" width="15.5546875" bestFit="1" customWidth="1"/>
    <col min="11" max="11" width="5.6640625" bestFit="1" customWidth="1"/>
    <col min="12" max="12" width="8.109375" bestFit="1" customWidth="1"/>
    <col min="13" max="13" width="16" bestFit="1" customWidth="1"/>
  </cols>
  <sheetData>
    <row r="1" spans="1:13" x14ac:dyDescent="0.3">
      <c r="A1" t="s">
        <v>0</v>
      </c>
      <c r="B1" t="s">
        <v>2070</v>
      </c>
      <c r="C1" t="s">
        <v>2071</v>
      </c>
      <c r="D1" t="s">
        <v>1</v>
      </c>
      <c r="E1" t="s">
        <v>2</v>
      </c>
      <c r="F1" t="s">
        <v>3</v>
      </c>
      <c r="G1" t="s">
        <v>4</v>
      </c>
      <c r="H1" t="s">
        <v>5</v>
      </c>
      <c r="I1" t="s">
        <v>6</v>
      </c>
      <c r="J1" t="s">
        <v>7</v>
      </c>
      <c r="K1" t="s">
        <v>8</v>
      </c>
      <c r="L1" t="s">
        <v>9</v>
      </c>
      <c r="M1" t="s">
        <v>10</v>
      </c>
    </row>
    <row r="2" spans="1:13" x14ac:dyDescent="0.3">
      <c r="A2" t="s">
        <v>11</v>
      </c>
      <c r="B2" t="s">
        <v>12</v>
      </c>
      <c r="C2" t="str">
        <f>RIGHT(B2, LEN(B2) - FIND(". ", B2))</f>
        <v xml:space="preserve"> Nicole Kidd</v>
      </c>
      <c r="D2" t="s">
        <v>13</v>
      </c>
      <c r="E2">
        <v>52</v>
      </c>
      <c r="F2" t="s">
        <v>14</v>
      </c>
      <c r="G2" t="s">
        <v>15</v>
      </c>
      <c r="H2" t="s">
        <v>16</v>
      </c>
      <c r="I2">
        <v>11</v>
      </c>
      <c r="J2">
        <v>100</v>
      </c>
      <c r="L2">
        <v>0</v>
      </c>
    </row>
    <row r="3" spans="1:13" x14ac:dyDescent="0.3">
      <c r="A3" t="s">
        <v>17</v>
      </c>
      <c r="B3" t="s">
        <v>18</v>
      </c>
      <c r="C3" t="str">
        <f>B3</f>
        <v>Vanessa Garcia</v>
      </c>
      <c r="D3" t="s">
        <v>19</v>
      </c>
      <c r="E3">
        <v>52</v>
      </c>
      <c r="F3" t="s">
        <v>20</v>
      </c>
      <c r="G3" t="s">
        <v>21</v>
      </c>
      <c r="H3" t="s">
        <v>22</v>
      </c>
      <c r="I3">
        <v>34</v>
      </c>
      <c r="J3" t="s">
        <v>23</v>
      </c>
      <c r="K3">
        <v>3.3</v>
      </c>
      <c r="L3">
        <v>1</v>
      </c>
      <c r="M3" s="1">
        <v>0.84</v>
      </c>
    </row>
    <row r="4" spans="1:13" x14ac:dyDescent="0.3">
      <c r="A4" t="s">
        <v>24</v>
      </c>
      <c r="B4" t="s">
        <v>25</v>
      </c>
      <c r="C4" t="str">
        <f t="shared" ref="C4:C47" si="0">B4</f>
        <v>Juan Nelson</v>
      </c>
      <c r="D4" t="s">
        <v>26</v>
      </c>
      <c r="E4">
        <v>53</v>
      </c>
      <c r="F4" t="s">
        <v>27</v>
      </c>
      <c r="G4" t="s">
        <v>28</v>
      </c>
      <c r="H4" t="s">
        <v>29</v>
      </c>
      <c r="I4">
        <v>31</v>
      </c>
      <c r="J4">
        <v>50</v>
      </c>
      <c r="K4">
        <v>0</v>
      </c>
      <c r="L4" t="s">
        <v>30</v>
      </c>
      <c r="M4" s="1">
        <v>0.71</v>
      </c>
    </row>
    <row r="5" spans="1:13" x14ac:dyDescent="0.3">
      <c r="A5" t="s">
        <v>31</v>
      </c>
      <c r="B5" t="s">
        <v>32</v>
      </c>
      <c r="C5" t="str">
        <f t="shared" si="0"/>
        <v>Amanda Spencer</v>
      </c>
      <c r="D5" t="s">
        <v>33</v>
      </c>
      <c r="E5">
        <v>38</v>
      </c>
      <c r="F5" t="s">
        <v>20</v>
      </c>
      <c r="G5" t="s">
        <v>21</v>
      </c>
      <c r="H5" t="s">
        <v>34</v>
      </c>
      <c r="I5">
        <v>4</v>
      </c>
      <c r="J5" s="2">
        <v>40</v>
      </c>
      <c r="K5">
        <v>1.5</v>
      </c>
      <c r="L5" t="s">
        <v>30</v>
      </c>
      <c r="M5" s="1">
        <v>0.9</v>
      </c>
    </row>
    <row r="6" spans="1:13" x14ac:dyDescent="0.3">
      <c r="A6" t="s">
        <v>35</v>
      </c>
      <c r="B6" t="s">
        <v>36</v>
      </c>
      <c r="C6" t="str">
        <f t="shared" si="0"/>
        <v>Lynn Curtis DDS</v>
      </c>
      <c r="D6" t="s">
        <v>37</v>
      </c>
      <c r="E6">
        <v>53</v>
      </c>
      <c r="F6" t="s">
        <v>27</v>
      </c>
      <c r="G6" t="s">
        <v>28</v>
      </c>
      <c r="H6" t="s">
        <v>34</v>
      </c>
      <c r="I6">
        <v>27</v>
      </c>
      <c r="J6">
        <v>30</v>
      </c>
      <c r="K6">
        <v>4.8</v>
      </c>
      <c r="L6">
        <v>0</v>
      </c>
      <c r="M6" s="1">
        <v>0.83</v>
      </c>
    </row>
    <row r="7" spans="1:13" x14ac:dyDescent="0.3">
      <c r="A7" t="s">
        <v>38</v>
      </c>
      <c r="B7" t="s">
        <v>39</v>
      </c>
      <c r="C7" t="str">
        <f t="shared" si="0"/>
        <v>Lisa Johnson</v>
      </c>
      <c r="D7" t="s">
        <v>37</v>
      </c>
      <c r="E7">
        <v>59</v>
      </c>
      <c r="F7" t="s">
        <v>40</v>
      </c>
      <c r="G7" t="s">
        <v>41</v>
      </c>
      <c r="H7" t="s">
        <v>42</v>
      </c>
      <c r="I7">
        <v>14</v>
      </c>
      <c r="J7" s="2">
        <v>30</v>
      </c>
      <c r="K7">
        <v>2.4</v>
      </c>
      <c r="L7" t="b">
        <v>0</v>
      </c>
    </row>
    <row r="8" spans="1:13" x14ac:dyDescent="0.3">
      <c r="A8" t="s">
        <v>43</v>
      </c>
      <c r="B8" t="s">
        <v>44</v>
      </c>
      <c r="C8" t="str">
        <f t="shared" si="0"/>
        <v>Eric Myers</v>
      </c>
      <c r="D8" t="s">
        <v>45</v>
      </c>
      <c r="E8">
        <v>52</v>
      </c>
      <c r="F8" t="s">
        <v>46</v>
      </c>
      <c r="G8" t="s">
        <v>47</v>
      </c>
      <c r="H8" t="s">
        <v>48</v>
      </c>
      <c r="I8">
        <v>10</v>
      </c>
      <c r="J8" t="s">
        <v>49</v>
      </c>
      <c r="K8">
        <v>3.1</v>
      </c>
      <c r="L8">
        <v>0</v>
      </c>
      <c r="M8" s="1">
        <v>0.94</v>
      </c>
    </row>
    <row r="9" spans="1:13" x14ac:dyDescent="0.3">
      <c r="A9" t="s">
        <v>50</v>
      </c>
      <c r="B9" t="s">
        <v>51</v>
      </c>
      <c r="C9" t="str">
        <f t="shared" si="0"/>
        <v>Ricky Graham</v>
      </c>
      <c r="D9" t="s">
        <v>26</v>
      </c>
      <c r="E9">
        <v>43</v>
      </c>
      <c r="F9" t="s">
        <v>14</v>
      </c>
      <c r="G9" t="s">
        <v>15</v>
      </c>
      <c r="H9" t="s">
        <v>16</v>
      </c>
      <c r="I9">
        <v>14</v>
      </c>
      <c r="J9" t="s">
        <v>52</v>
      </c>
      <c r="K9">
        <v>4.5999999999999996</v>
      </c>
      <c r="L9" t="b">
        <v>0</v>
      </c>
      <c r="M9" s="1">
        <v>0.94</v>
      </c>
    </row>
    <row r="10" spans="1:13" x14ac:dyDescent="0.3">
      <c r="A10" t="s">
        <v>53</v>
      </c>
      <c r="B10" t="s">
        <v>54</v>
      </c>
      <c r="C10" t="str">
        <f t="shared" si="0"/>
        <v>Sean Martin</v>
      </c>
      <c r="D10" t="s">
        <v>26</v>
      </c>
      <c r="E10">
        <v>26</v>
      </c>
      <c r="F10" t="s">
        <v>55</v>
      </c>
      <c r="G10" t="s">
        <v>21</v>
      </c>
      <c r="H10" t="s">
        <v>16</v>
      </c>
      <c r="I10">
        <v>4</v>
      </c>
      <c r="K10">
        <v>4</v>
      </c>
      <c r="L10" t="b">
        <v>1</v>
      </c>
      <c r="M10" s="1">
        <v>0.76</v>
      </c>
    </row>
    <row r="11" spans="1:13" x14ac:dyDescent="0.3">
      <c r="A11" t="s">
        <v>56</v>
      </c>
      <c r="B11" t="s">
        <v>57</v>
      </c>
      <c r="C11" t="str">
        <f t="shared" si="0"/>
        <v>Matthew Lloyd</v>
      </c>
      <c r="D11" t="s">
        <v>58</v>
      </c>
      <c r="E11">
        <v>52</v>
      </c>
      <c r="F11" t="s">
        <v>59</v>
      </c>
      <c r="G11" t="s">
        <v>60</v>
      </c>
      <c r="H11" t="s">
        <v>42</v>
      </c>
      <c r="I11">
        <v>22</v>
      </c>
      <c r="J11" s="2">
        <v>50</v>
      </c>
      <c r="L11">
        <v>1</v>
      </c>
    </row>
    <row r="12" spans="1:13" x14ac:dyDescent="0.3">
      <c r="A12" t="s">
        <v>61</v>
      </c>
      <c r="B12" t="s">
        <v>62</v>
      </c>
      <c r="C12" t="str">
        <f t="shared" si="0"/>
        <v>Gavin Randall</v>
      </c>
      <c r="D12" t="s">
        <v>45</v>
      </c>
      <c r="E12">
        <v>40</v>
      </c>
      <c r="F12" t="s">
        <v>63</v>
      </c>
      <c r="G12" t="s">
        <v>21</v>
      </c>
      <c r="H12" t="s">
        <v>48</v>
      </c>
      <c r="I12">
        <v>17</v>
      </c>
      <c r="J12">
        <v>40</v>
      </c>
      <c r="K12">
        <v>3.6</v>
      </c>
      <c r="L12" t="s">
        <v>64</v>
      </c>
      <c r="M12" s="1">
        <v>0.77</v>
      </c>
    </row>
    <row r="13" spans="1:13" x14ac:dyDescent="0.3">
      <c r="A13" t="s">
        <v>65</v>
      </c>
      <c r="B13" t="s">
        <v>66</v>
      </c>
      <c r="C13" t="str">
        <f t="shared" si="0"/>
        <v>Michelle Curtis</v>
      </c>
      <c r="D13" t="s">
        <v>19</v>
      </c>
      <c r="E13">
        <v>55</v>
      </c>
      <c r="F13" t="s">
        <v>67</v>
      </c>
      <c r="G13" t="s">
        <v>68</v>
      </c>
      <c r="H13" t="s">
        <v>69</v>
      </c>
      <c r="I13">
        <v>15</v>
      </c>
      <c r="L13" t="s">
        <v>70</v>
      </c>
      <c r="M13" s="1">
        <v>0.86</v>
      </c>
    </row>
    <row r="14" spans="1:13" x14ac:dyDescent="0.3">
      <c r="A14" t="s">
        <v>71</v>
      </c>
      <c r="B14" t="s">
        <v>72</v>
      </c>
      <c r="C14" t="str">
        <f t="shared" si="0"/>
        <v>Alice Schneider</v>
      </c>
      <c r="D14" t="s">
        <v>73</v>
      </c>
      <c r="E14">
        <v>57</v>
      </c>
      <c r="F14" t="s">
        <v>63</v>
      </c>
      <c r="G14" t="s">
        <v>21</v>
      </c>
      <c r="H14" t="s">
        <v>74</v>
      </c>
      <c r="I14">
        <v>18</v>
      </c>
      <c r="K14">
        <v>2</v>
      </c>
      <c r="L14">
        <v>0</v>
      </c>
      <c r="M14" s="1">
        <v>0.86</v>
      </c>
    </row>
    <row r="15" spans="1:13" x14ac:dyDescent="0.3">
      <c r="A15" t="s">
        <v>75</v>
      </c>
      <c r="B15" t="s">
        <v>76</v>
      </c>
      <c r="C15" t="str">
        <f t="shared" si="0"/>
        <v>Phillip Shelton</v>
      </c>
      <c r="D15" t="s">
        <v>58</v>
      </c>
      <c r="E15">
        <v>38</v>
      </c>
      <c r="F15" t="s">
        <v>67</v>
      </c>
      <c r="G15" t="s">
        <v>68</v>
      </c>
      <c r="H15" t="s">
        <v>29</v>
      </c>
      <c r="I15">
        <v>20</v>
      </c>
      <c r="J15" t="s">
        <v>49</v>
      </c>
      <c r="K15">
        <v>2.9</v>
      </c>
      <c r="L15">
        <v>1</v>
      </c>
      <c r="M15" s="1">
        <v>0.93</v>
      </c>
    </row>
    <row r="16" spans="1:13" x14ac:dyDescent="0.3">
      <c r="A16" t="s">
        <v>77</v>
      </c>
      <c r="B16" t="s">
        <v>78</v>
      </c>
      <c r="C16" t="str">
        <f t="shared" si="0"/>
        <v>Edward Ferguson</v>
      </c>
      <c r="D16" t="s">
        <v>58</v>
      </c>
      <c r="E16">
        <v>50</v>
      </c>
      <c r="F16" t="s">
        <v>27</v>
      </c>
      <c r="G16" t="s">
        <v>28</v>
      </c>
      <c r="H16" t="s">
        <v>48</v>
      </c>
      <c r="I16">
        <v>22</v>
      </c>
      <c r="J16">
        <v>75</v>
      </c>
      <c r="K16">
        <v>3.7</v>
      </c>
      <c r="L16">
        <v>1</v>
      </c>
      <c r="M16" s="1">
        <v>0.7</v>
      </c>
    </row>
    <row r="17" spans="1:13" x14ac:dyDescent="0.3">
      <c r="A17" t="s">
        <v>79</v>
      </c>
      <c r="B17" t="s">
        <v>80</v>
      </c>
      <c r="C17" t="str">
        <f t="shared" si="0"/>
        <v>Wyatt Stout</v>
      </c>
      <c r="D17" t="s">
        <v>45</v>
      </c>
      <c r="E17">
        <v>42</v>
      </c>
      <c r="F17" t="s">
        <v>81</v>
      </c>
      <c r="G17" t="s">
        <v>82</v>
      </c>
      <c r="H17" t="s">
        <v>48</v>
      </c>
      <c r="I17">
        <v>0</v>
      </c>
      <c r="J17" s="2">
        <v>30</v>
      </c>
      <c r="K17">
        <v>1.2</v>
      </c>
      <c r="L17">
        <v>0</v>
      </c>
      <c r="M17" s="1">
        <v>0.69</v>
      </c>
    </row>
    <row r="18" spans="1:13" x14ac:dyDescent="0.3">
      <c r="A18" t="s">
        <v>83</v>
      </c>
      <c r="B18" t="s">
        <v>84</v>
      </c>
      <c r="C18" t="str">
        <f t="shared" si="0"/>
        <v>Laura Johnson</v>
      </c>
      <c r="D18" t="s">
        <v>73</v>
      </c>
      <c r="E18">
        <v>39</v>
      </c>
      <c r="F18" t="s">
        <v>20</v>
      </c>
      <c r="G18" t="s">
        <v>21</v>
      </c>
      <c r="H18" t="s">
        <v>85</v>
      </c>
      <c r="I18">
        <v>13</v>
      </c>
      <c r="J18" s="2">
        <v>30</v>
      </c>
      <c r="K18">
        <v>2.5</v>
      </c>
      <c r="L18" t="b">
        <v>0</v>
      </c>
      <c r="M18" s="1">
        <v>0.6</v>
      </c>
    </row>
    <row r="19" spans="1:13" x14ac:dyDescent="0.3">
      <c r="A19" t="s">
        <v>86</v>
      </c>
      <c r="B19" t="s">
        <v>87</v>
      </c>
      <c r="C19" t="str">
        <f t="shared" si="0"/>
        <v>Scott Burns</v>
      </c>
      <c r="D19" t="s">
        <v>88</v>
      </c>
      <c r="E19">
        <v>56</v>
      </c>
      <c r="F19" t="s">
        <v>89</v>
      </c>
      <c r="G19" t="s">
        <v>90</v>
      </c>
      <c r="H19" t="s">
        <v>16</v>
      </c>
      <c r="M19" s="1">
        <v>0.87</v>
      </c>
    </row>
    <row r="20" spans="1:13" x14ac:dyDescent="0.3">
      <c r="A20" t="s">
        <v>91</v>
      </c>
      <c r="B20" t="s">
        <v>92</v>
      </c>
      <c r="C20" t="str">
        <f t="shared" si="0"/>
        <v>Tyler Aguirre</v>
      </c>
      <c r="D20" t="s">
        <v>93</v>
      </c>
      <c r="E20">
        <v>56</v>
      </c>
      <c r="F20" t="s">
        <v>55</v>
      </c>
      <c r="G20" t="s">
        <v>21</v>
      </c>
      <c r="H20" t="s">
        <v>69</v>
      </c>
      <c r="I20">
        <v>31</v>
      </c>
      <c r="J20" t="s">
        <v>94</v>
      </c>
      <c r="K20">
        <v>1.1000000000000001</v>
      </c>
      <c r="L20" t="s">
        <v>30</v>
      </c>
      <c r="M20" s="1">
        <v>0.75</v>
      </c>
    </row>
    <row r="21" spans="1:13" x14ac:dyDescent="0.3">
      <c r="A21" t="s">
        <v>95</v>
      </c>
      <c r="B21" t="s">
        <v>96</v>
      </c>
      <c r="C21" t="str">
        <f t="shared" si="0"/>
        <v>Matthew Lawson</v>
      </c>
      <c r="D21" t="s">
        <v>93</v>
      </c>
      <c r="E21">
        <v>57</v>
      </c>
      <c r="F21" t="s">
        <v>14</v>
      </c>
      <c r="G21" t="s">
        <v>15</v>
      </c>
      <c r="H21" t="s">
        <v>34</v>
      </c>
      <c r="I21">
        <v>3</v>
      </c>
      <c r="J21" t="s">
        <v>23</v>
      </c>
      <c r="K21">
        <v>1.8</v>
      </c>
      <c r="L21" t="s">
        <v>64</v>
      </c>
      <c r="M21" s="1">
        <v>0.68</v>
      </c>
    </row>
    <row r="22" spans="1:13" x14ac:dyDescent="0.3">
      <c r="A22" t="s">
        <v>97</v>
      </c>
      <c r="B22" t="s">
        <v>98</v>
      </c>
      <c r="C22" t="str">
        <f t="shared" si="0"/>
        <v>James Cherry</v>
      </c>
      <c r="D22" t="s">
        <v>93</v>
      </c>
      <c r="F22" t="s">
        <v>46</v>
      </c>
      <c r="G22" t="s">
        <v>47</v>
      </c>
      <c r="H22" t="s">
        <v>42</v>
      </c>
      <c r="I22">
        <v>9</v>
      </c>
      <c r="J22">
        <v>50</v>
      </c>
      <c r="K22">
        <v>1.8</v>
      </c>
      <c r="L22" t="b">
        <v>0</v>
      </c>
      <c r="M22" s="1">
        <v>0.65</v>
      </c>
    </row>
    <row r="23" spans="1:13" x14ac:dyDescent="0.3">
      <c r="A23" t="s">
        <v>99</v>
      </c>
      <c r="B23" t="s">
        <v>100</v>
      </c>
      <c r="C23" t="str">
        <f t="shared" si="0"/>
        <v>Samuel Sanford</v>
      </c>
      <c r="D23" t="s">
        <v>45</v>
      </c>
      <c r="E23">
        <v>51</v>
      </c>
      <c r="F23" t="s">
        <v>81</v>
      </c>
      <c r="G23" t="s">
        <v>82</v>
      </c>
      <c r="H23" t="s">
        <v>85</v>
      </c>
      <c r="K23">
        <v>2.4</v>
      </c>
      <c r="L23" t="s">
        <v>30</v>
      </c>
      <c r="M23" s="1">
        <v>0.69</v>
      </c>
    </row>
    <row r="24" spans="1:13" x14ac:dyDescent="0.3">
      <c r="A24" t="s">
        <v>101</v>
      </c>
      <c r="B24" t="s">
        <v>102</v>
      </c>
      <c r="C24" t="str">
        <f t="shared" si="0"/>
        <v>Cesar Greene</v>
      </c>
      <c r="D24" t="s">
        <v>45</v>
      </c>
      <c r="E24">
        <v>51</v>
      </c>
      <c r="F24" t="s">
        <v>103</v>
      </c>
      <c r="G24" t="s">
        <v>104</v>
      </c>
      <c r="H24" t="s">
        <v>74</v>
      </c>
      <c r="I24">
        <v>21</v>
      </c>
      <c r="J24" t="s">
        <v>105</v>
      </c>
      <c r="K24">
        <v>4.7</v>
      </c>
      <c r="L24" t="s">
        <v>30</v>
      </c>
    </row>
    <row r="25" spans="1:13" x14ac:dyDescent="0.3">
      <c r="A25" t="s">
        <v>106</v>
      </c>
      <c r="B25" t="s">
        <v>107</v>
      </c>
      <c r="C25" t="str">
        <f t="shared" si="0"/>
        <v>Melanie Carter</v>
      </c>
      <c r="D25" t="s">
        <v>37</v>
      </c>
      <c r="E25">
        <v>51</v>
      </c>
      <c r="F25" t="s">
        <v>108</v>
      </c>
      <c r="G25" t="s">
        <v>109</v>
      </c>
      <c r="H25" t="s">
        <v>110</v>
      </c>
      <c r="I25">
        <v>15</v>
      </c>
      <c r="J25" s="2">
        <v>50</v>
      </c>
      <c r="K25">
        <v>1.3</v>
      </c>
      <c r="L25">
        <v>1</v>
      </c>
      <c r="M25" s="1">
        <v>1</v>
      </c>
    </row>
    <row r="26" spans="1:13" x14ac:dyDescent="0.3">
      <c r="A26" t="s">
        <v>111</v>
      </c>
      <c r="B26" t="s">
        <v>112</v>
      </c>
      <c r="C26" t="str">
        <f t="shared" si="0"/>
        <v>Jennifer Martin</v>
      </c>
      <c r="D26" t="s">
        <v>13</v>
      </c>
      <c r="E26">
        <v>54</v>
      </c>
      <c r="F26" t="s">
        <v>46</v>
      </c>
      <c r="G26" t="s">
        <v>47</v>
      </c>
      <c r="H26" t="s">
        <v>110</v>
      </c>
      <c r="I26">
        <v>13</v>
      </c>
      <c r="J26">
        <v>75</v>
      </c>
      <c r="K26">
        <v>2.9</v>
      </c>
      <c r="M26">
        <v>92</v>
      </c>
    </row>
    <row r="27" spans="1:13" x14ac:dyDescent="0.3">
      <c r="A27" t="s">
        <v>113</v>
      </c>
      <c r="B27" t="s">
        <v>114</v>
      </c>
      <c r="C27" t="str">
        <f t="shared" si="0"/>
        <v>Anna Mccann</v>
      </c>
      <c r="D27" t="s">
        <v>19</v>
      </c>
      <c r="E27">
        <v>22</v>
      </c>
      <c r="F27" t="s">
        <v>108</v>
      </c>
      <c r="G27" t="s">
        <v>109</v>
      </c>
      <c r="H27" t="s">
        <v>85</v>
      </c>
      <c r="I27">
        <v>0</v>
      </c>
      <c r="J27" t="s">
        <v>105</v>
      </c>
      <c r="K27">
        <v>1.2</v>
      </c>
      <c r="L27">
        <v>1</v>
      </c>
      <c r="M27" s="1">
        <v>0.7</v>
      </c>
    </row>
    <row r="28" spans="1:13" x14ac:dyDescent="0.3">
      <c r="A28" t="s">
        <v>115</v>
      </c>
      <c r="B28" t="s">
        <v>116</v>
      </c>
      <c r="C28" t="str">
        <f t="shared" si="0"/>
        <v>Marissa Bass</v>
      </c>
      <c r="D28" t="s">
        <v>37</v>
      </c>
      <c r="E28">
        <v>34</v>
      </c>
      <c r="F28" t="s">
        <v>81</v>
      </c>
      <c r="G28" t="s">
        <v>82</v>
      </c>
      <c r="H28" t="s">
        <v>16</v>
      </c>
      <c r="I28">
        <v>8</v>
      </c>
      <c r="J28" s="2">
        <v>20</v>
      </c>
      <c r="K28">
        <v>0</v>
      </c>
      <c r="L28" t="b">
        <v>1</v>
      </c>
      <c r="M28" s="1">
        <v>0.89</v>
      </c>
    </row>
    <row r="29" spans="1:13" x14ac:dyDescent="0.3">
      <c r="A29" t="s">
        <v>117</v>
      </c>
      <c r="B29" t="s">
        <v>118</v>
      </c>
      <c r="C29" t="str">
        <f t="shared" si="0"/>
        <v>Alexis Day</v>
      </c>
      <c r="D29" t="s">
        <v>73</v>
      </c>
      <c r="E29">
        <v>36</v>
      </c>
      <c r="F29" t="s">
        <v>119</v>
      </c>
      <c r="G29" t="s">
        <v>120</v>
      </c>
      <c r="H29" t="s">
        <v>29</v>
      </c>
      <c r="I29">
        <v>11</v>
      </c>
      <c r="K29">
        <v>1.8</v>
      </c>
      <c r="L29" t="s">
        <v>70</v>
      </c>
      <c r="M29" s="1">
        <v>0.86</v>
      </c>
    </row>
    <row r="30" spans="1:13" x14ac:dyDescent="0.3">
      <c r="A30" t="s">
        <v>121</v>
      </c>
      <c r="B30" t="s">
        <v>122</v>
      </c>
      <c r="C30" t="str">
        <f t="shared" si="0"/>
        <v>Megan Jones</v>
      </c>
      <c r="D30" t="s">
        <v>37</v>
      </c>
      <c r="E30">
        <v>47</v>
      </c>
      <c r="F30" t="s">
        <v>123</v>
      </c>
      <c r="G30" t="s">
        <v>21</v>
      </c>
      <c r="H30" t="s">
        <v>42</v>
      </c>
      <c r="I30">
        <v>22</v>
      </c>
      <c r="J30">
        <v>30</v>
      </c>
      <c r="K30">
        <v>1.3</v>
      </c>
      <c r="L30">
        <v>0</v>
      </c>
      <c r="M30" s="1">
        <v>0.62</v>
      </c>
    </row>
    <row r="31" spans="1:13" x14ac:dyDescent="0.3">
      <c r="A31" t="s">
        <v>124</v>
      </c>
      <c r="B31" t="s">
        <v>125</v>
      </c>
      <c r="C31" t="str">
        <f t="shared" si="0"/>
        <v>Lori Smith</v>
      </c>
      <c r="D31" t="s">
        <v>19</v>
      </c>
      <c r="E31">
        <v>41</v>
      </c>
      <c r="F31" t="s">
        <v>40</v>
      </c>
      <c r="G31" t="s">
        <v>41</v>
      </c>
      <c r="H31" t="s">
        <v>48</v>
      </c>
      <c r="I31">
        <v>14</v>
      </c>
      <c r="J31" t="s">
        <v>49</v>
      </c>
      <c r="K31">
        <v>1.2</v>
      </c>
      <c r="L31">
        <v>0</v>
      </c>
    </row>
    <row r="32" spans="1:13" x14ac:dyDescent="0.3">
      <c r="A32" t="s">
        <v>126</v>
      </c>
      <c r="B32" t="s">
        <v>127</v>
      </c>
      <c r="C32" t="str">
        <f t="shared" si="0"/>
        <v>Eric Carpenter</v>
      </c>
      <c r="D32" t="s">
        <v>93</v>
      </c>
      <c r="E32">
        <v>22</v>
      </c>
      <c r="F32" t="s">
        <v>40</v>
      </c>
      <c r="G32" t="s">
        <v>41</v>
      </c>
      <c r="H32" t="s">
        <v>85</v>
      </c>
      <c r="I32">
        <v>4</v>
      </c>
      <c r="K32">
        <v>1</v>
      </c>
      <c r="L32" t="s">
        <v>64</v>
      </c>
    </row>
    <row r="33" spans="1:13" x14ac:dyDescent="0.3">
      <c r="A33" t="s">
        <v>128</v>
      </c>
      <c r="B33" t="s">
        <v>129</v>
      </c>
      <c r="C33" t="str">
        <f t="shared" si="0"/>
        <v>Timothy Daniels</v>
      </c>
      <c r="D33" t="s">
        <v>93</v>
      </c>
      <c r="E33">
        <v>38</v>
      </c>
      <c r="F33" t="s">
        <v>130</v>
      </c>
      <c r="G33" t="s">
        <v>131</v>
      </c>
      <c r="H33" t="s">
        <v>110</v>
      </c>
      <c r="I33">
        <v>19</v>
      </c>
      <c r="J33" t="s">
        <v>23</v>
      </c>
      <c r="K33">
        <v>4.2</v>
      </c>
      <c r="L33" t="s">
        <v>30</v>
      </c>
      <c r="M33" s="1">
        <v>0.68</v>
      </c>
    </row>
    <row r="34" spans="1:13" x14ac:dyDescent="0.3">
      <c r="A34" t="s">
        <v>132</v>
      </c>
      <c r="B34" t="s">
        <v>133</v>
      </c>
      <c r="C34" t="str">
        <f t="shared" si="0"/>
        <v>Robert Nelson</v>
      </c>
      <c r="D34" t="s">
        <v>88</v>
      </c>
      <c r="E34">
        <v>46</v>
      </c>
      <c r="F34" t="s">
        <v>134</v>
      </c>
      <c r="G34" t="s">
        <v>135</v>
      </c>
      <c r="H34" t="s">
        <v>42</v>
      </c>
      <c r="I34">
        <v>9</v>
      </c>
      <c r="J34">
        <v>20</v>
      </c>
      <c r="K34">
        <v>1.4</v>
      </c>
      <c r="L34" t="b">
        <v>1</v>
      </c>
      <c r="M34" s="1">
        <v>0.76</v>
      </c>
    </row>
    <row r="35" spans="1:13" x14ac:dyDescent="0.3">
      <c r="A35" t="s">
        <v>136</v>
      </c>
      <c r="B35" t="s">
        <v>137</v>
      </c>
      <c r="C35" t="str">
        <f t="shared" si="0"/>
        <v>Michael Anderson</v>
      </c>
      <c r="D35" t="s">
        <v>26</v>
      </c>
      <c r="F35" t="s">
        <v>108</v>
      </c>
      <c r="G35" t="s">
        <v>109</v>
      </c>
      <c r="H35" t="s">
        <v>42</v>
      </c>
      <c r="I35">
        <v>9</v>
      </c>
      <c r="J35">
        <v>40</v>
      </c>
      <c r="K35">
        <v>2.4</v>
      </c>
      <c r="L35" t="s">
        <v>64</v>
      </c>
      <c r="M35">
        <v>82</v>
      </c>
    </row>
    <row r="36" spans="1:13" x14ac:dyDescent="0.3">
      <c r="A36" t="s">
        <v>138</v>
      </c>
      <c r="B36" t="s">
        <v>139</v>
      </c>
      <c r="C36" t="str">
        <f t="shared" si="0"/>
        <v>Jessica Snyder</v>
      </c>
      <c r="D36" t="s">
        <v>19</v>
      </c>
      <c r="E36">
        <v>54</v>
      </c>
      <c r="F36" t="s">
        <v>55</v>
      </c>
      <c r="G36" t="s">
        <v>21</v>
      </c>
      <c r="H36" t="s">
        <v>34</v>
      </c>
      <c r="I36">
        <v>32</v>
      </c>
      <c r="J36">
        <v>75</v>
      </c>
      <c r="K36">
        <v>1</v>
      </c>
      <c r="L36" t="s">
        <v>64</v>
      </c>
      <c r="M36" s="1">
        <v>0.81</v>
      </c>
    </row>
    <row r="37" spans="1:13" x14ac:dyDescent="0.3">
      <c r="A37" t="s">
        <v>140</v>
      </c>
      <c r="B37" t="s">
        <v>141</v>
      </c>
      <c r="C37" t="str">
        <f t="shared" si="0"/>
        <v>Emily Daniels</v>
      </c>
      <c r="D37" t="s">
        <v>37</v>
      </c>
      <c r="E37">
        <v>52</v>
      </c>
      <c r="F37" t="s">
        <v>108</v>
      </c>
      <c r="G37" t="s">
        <v>109</v>
      </c>
      <c r="H37" t="s">
        <v>34</v>
      </c>
      <c r="I37">
        <v>28</v>
      </c>
      <c r="J37" s="2">
        <v>20</v>
      </c>
      <c r="L37">
        <v>0</v>
      </c>
    </row>
    <row r="38" spans="1:13" x14ac:dyDescent="0.3">
      <c r="A38" t="s">
        <v>142</v>
      </c>
      <c r="B38" t="s">
        <v>143</v>
      </c>
      <c r="C38" t="str">
        <f t="shared" si="0"/>
        <v>Jamie Ramirez</v>
      </c>
      <c r="D38" t="s">
        <v>13</v>
      </c>
      <c r="E38">
        <v>42</v>
      </c>
      <c r="F38" t="s">
        <v>81</v>
      </c>
      <c r="G38" t="s">
        <v>82</v>
      </c>
      <c r="H38" t="s">
        <v>22</v>
      </c>
      <c r="I38">
        <v>6</v>
      </c>
      <c r="J38">
        <v>40</v>
      </c>
      <c r="L38">
        <v>0</v>
      </c>
      <c r="M38" s="1">
        <v>0.63</v>
      </c>
    </row>
    <row r="39" spans="1:13" x14ac:dyDescent="0.3">
      <c r="A39" t="s">
        <v>144</v>
      </c>
      <c r="B39" t="s">
        <v>145</v>
      </c>
      <c r="C39" t="str">
        <f t="shared" si="0"/>
        <v>Amy Harrison</v>
      </c>
      <c r="D39" t="s">
        <v>33</v>
      </c>
      <c r="E39">
        <v>29</v>
      </c>
      <c r="F39" t="s">
        <v>40</v>
      </c>
      <c r="G39" t="s">
        <v>41</v>
      </c>
      <c r="H39" t="s">
        <v>29</v>
      </c>
      <c r="I39">
        <v>10</v>
      </c>
      <c r="J39">
        <v>40</v>
      </c>
      <c r="K39">
        <v>2.2000000000000002</v>
      </c>
      <c r="L39" t="s">
        <v>30</v>
      </c>
      <c r="M39" s="1">
        <v>0.67</v>
      </c>
    </row>
    <row r="40" spans="1:13" x14ac:dyDescent="0.3">
      <c r="A40" t="s">
        <v>146</v>
      </c>
      <c r="B40" t="s">
        <v>147</v>
      </c>
      <c r="C40" t="str">
        <f t="shared" si="0"/>
        <v>Melinda White</v>
      </c>
      <c r="D40" t="s">
        <v>33</v>
      </c>
      <c r="E40">
        <v>42</v>
      </c>
      <c r="F40" t="s">
        <v>148</v>
      </c>
      <c r="G40" t="s">
        <v>149</v>
      </c>
      <c r="H40" t="s">
        <v>22</v>
      </c>
      <c r="I40">
        <v>23</v>
      </c>
      <c r="J40">
        <v>50</v>
      </c>
      <c r="K40">
        <v>3.2</v>
      </c>
      <c r="L40" t="s">
        <v>64</v>
      </c>
    </row>
    <row r="41" spans="1:13" x14ac:dyDescent="0.3">
      <c r="A41" t="s">
        <v>150</v>
      </c>
      <c r="B41" t="s">
        <v>151</v>
      </c>
      <c r="C41" t="str">
        <f t="shared" si="0"/>
        <v>James Hernandez</v>
      </c>
      <c r="D41" t="s">
        <v>93</v>
      </c>
      <c r="E41">
        <v>60</v>
      </c>
      <c r="F41" t="s">
        <v>81</v>
      </c>
      <c r="G41" t="s">
        <v>82</v>
      </c>
      <c r="H41" t="s">
        <v>34</v>
      </c>
      <c r="I41">
        <v>13</v>
      </c>
      <c r="J41" s="2">
        <v>20</v>
      </c>
      <c r="K41">
        <v>3.6</v>
      </c>
      <c r="L41">
        <v>0</v>
      </c>
      <c r="M41" s="1">
        <v>0.8</v>
      </c>
    </row>
    <row r="42" spans="1:13" x14ac:dyDescent="0.3">
      <c r="A42" t="s">
        <v>152</v>
      </c>
      <c r="B42" t="s">
        <v>153</v>
      </c>
      <c r="C42" t="str">
        <f t="shared" si="0"/>
        <v>Angelica Rogers</v>
      </c>
      <c r="D42" t="s">
        <v>73</v>
      </c>
      <c r="E42">
        <v>59</v>
      </c>
      <c r="F42" t="s">
        <v>63</v>
      </c>
      <c r="G42" t="s">
        <v>21</v>
      </c>
      <c r="H42" t="s">
        <v>42</v>
      </c>
      <c r="I42">
        <v>3</v>
      </c>
      <c r="J42" t="s">
        <v>94</v>
      </c>
      <c r="K42">
        <v>0</v>
      </c>
      <c r="L42" t="s">
        <v>154</v>
      </c>
    </row>
    <row r="43" spans="1:13" x14ac:dyDescent="0.3">
      <c r="A43" t="s">
        <v>155</v>
      </c>
      <c r="B43" t="s">
        <v>156</v>
      </c>
      <c r="C43" t="str">
        <f t="shared" si="0"/>
        <v>Savannah Williams</v>
      </c>
      <c r="D43" t="s">
        <v>73</v>
      </c>
      <c r="E43">
        <v>21</v>
      </c>
      <c r="F43" t="s">
        <v>123</v>
      </c>
      <c r="G43" t="s">
        <v>21</v>
      </c>
      <c r="H43" t="s">
        <v>34</v>
      </c>
      <c r="I43">
        <v>0</v>
      </c>
      <c r="J43">
        <v>30</v>
      </c>
      <c r="K43">
        <v>2.7</v>
      </c>
      <c r="L43">
        <v>1</v>
      </c>
      <c r="M43" s="1">
        <v>0.84</v>
      </c>
    </row>
    <row r="44" spans="1:13" x14ac:dyDescent="0.3">
      <c r="A44" t="s">
        <v>157</v>
      </c>
      <c r="B44" t="s">
        <v>158</v>
      </c>
      <c r="C44" t="str">
        <f t="shared" si="0"/>
        <v>Kaitlyn Schmidt</v>
      </c>
      <c r="D44" t="s">
        <v>73</v>
      </c>
      <c r="E44">
        <v>35</v>
      </c>
      <c r="F44" t="s">
        <v>27</v>
      </c>
      <c r="G44" t="s">
        <v>28</v>
      </c>
      <c r="H44" t="s">
        <v>85</v>
      </c>
      <c r="I44">
        <v>10</v>
      </c>
      <c r="J44" s="2">
        <v>50</v>
      </c>
      <c r="K44">
        <v>0</v>
      </c>
      <c r="L44" t="s">
        <v>154</v>
      </c>
    </row>
    <row r="45" spans="1:13" x14ac:dyDescent="0.3">
      <c r="A45" t="s">
        <v>159</v>
      </c>
      <c r="B45" t="s">
        <v>160</v>
      </c>
      <c r="C45" t="str">
        <f t="shared" si="0"/>
        <v>Jason Singh</v>
      </c>
      <c r="D45" t="s">
        <v>26</v>
      </c>
      <c r="E45">
        <v>41</v>
      </c>
      <c r="F45" t="s">
        <v>63</v>
      </c>
      <c r="G45" t="s">
        <v>21</v>
      </c>
      <c r="H45" t="s">
        <v>48</v>
      </c>
      <c r="J45">
        <v>20</v>
      </c>
      <c r="K45">
        <v>2.8</v>
      </c>
      <c r="L45" t="b">
        <v>1</v>
      </c>
      <c r="M45" s="1">
        <v>0.63</v>
      </c>
    </row>
    <row r="46" spans="1:13" x14ac:dyDescent="0.3">
      <c r="A46" t="s">
        <v>161</v>
      </c>
      <c r="B46" t="s">
        <v>162</v>
      </c>
      <c r="C46" t="str">
        <f t="shared" si="0"/>
        <v>Michelle Ramirez</v>
      </c>
      <c r="D46" t="s">
        <v>73</v>
      </c>
      <c r="E46">
        <v>51</v>
      </c>
      <c r="F46" t="s">
        <v>40</v>
      </c>
      <c r="G46" t="s">
        <v>41</v>
      </c>
      <c r="H46" t="s">
        <v>110</v>
      </c>
      <c r="I46">
        <v>23</v>
      </c>
      <c r="J46">
        <v>20</v>
      </c>
      <c r="K46">
        <v>2.5</v>
      </c>
      <c r="L46" t="b">
        <v>0</v>
      </c>
      <c r="M46" s="1">
        <v>0.8</v>
      </c>
    </row>
    <row r="47" spans="1:13" x14ac:dyDescent="0.3">
      <c r="A47" t="s">
        <v>163</v>
      </c>
      <c r="B47" t="s">
        <v>164</v>
      </c>
      <c r="C47" t="str">
        <f t="shared" si="0"/>
        <v>James Brown</v>
      </c>
      <c r="D47" t="s">
        <v>26</v>
      </c>
      <c r="E47">
        <v>41</v>
      </c>
      <c r="F47" t="s">
        <v>148</v>
      </c>
      <c r="G47" t="s">
        <v>149</v>
      </c>
      <c r="H47" t="s">
        <v>34</v>
      </c>
      <c r="I47">
        <v>9</v>
      </c>
      <c r="J47" s="2">
        <v>75</v>
      </c>
      <c r="K47">
        <v>4.9000000000000004</v>
      </c>
      <c r="L47">
        <v>1</v>
      </c>
      <c r="M47" s="1">
        <v>0.74</v>
      </c>
    </row>
    <row r="48" spans="1:13" x14ac:dyDescent="0.3">
      <c r="A48" t="s">
        <v>165</v>
      </c>
      <c r="B48" t="s">
        <v>166</v>
      </c>
      <c r="C48" t="str">
        <f>RIGHT(B48, LEN(B48) - FIND(". ", B48))</f>
        <v xml:space="preserve"> Samantha Simmons</v>
      </c>
      <c r="D48" t="s">
        <v>73</v>
      </c>
      <c r="E48">
        <v>47</v>
      </c>
      <c r="F48" t="s">
        <v>134</v>
      </c>
      <c r="G48" t="s">
        <v>135</v>
      </c>
      <c r="H48" t="s">
        <v>85</v>
      </c>
      <c r="I48">
        <v>15</v>
      </c>
      <c r="J48" t="s">
        <v>105</v>
      </c>
      <c r="K48">
        <v>4.5</v>
      </c>
      <c r="L48">
        <v>1</v>
      </c>
      <c r="M48" s="1">
        <v>0.85</v>
      </c>
    </row>
    <row r="49" spans="1:13" x14ac:dyDescent="0.3">
      <c r="A49" t="s">
        <v>167</v>
      </c>
      <c r="B49" t="s">
        <v>168</v>
      </c>
      <c r="C49" t="str">
        <f t="shared" ref="C49:C112" si="1">B49</f>
        <v>Chase Mason</v>
      </c>
      <c r="D49" t="s">
        <v>26</v>
      </c>
      <c r="E49">
        <v>25</v>
      </c>
      <c r="F49" t="s">
        <v>169</v>
      </c>
      <c r="G49" t="s">
        <v>170</v>
      </c>
      <c r="H49" t="s">
        <v>29</v>
      </c>
      <c r="I49">
        <v>4</v>
      </c>
      <c r="J49">
        <v>50</v>
      </c>
      <c r="K49">
        <v>2.7</v>
      </c>
      <c r="L49" t="s">
        <v>30</v>
      </c>
      <c r="M49" s="1">
        <v>0.77</v>
      </c>
    </row>
    <row r="50" spans="1:13" x14ac:dyDescent="0.3">
      <c r="A50" t="s">
        <v>171</v>
      </c>
      <c r="B50" t="s">
        <v>172</v>
      </c>
      <c r="C50" t="str">
        <f t="shared" si="1"/>
        <v>Dominique Ward</v>
      </c>
      <c r="D50" t="s">
        <v>33</v>
      </c>
      <c r="E50">
        <v>25</v>
      </c>
      <c r="F50" t="s">
        <v>173</v>
      </c>
      <c r="G50" t="s">
        <v>68</v>
      </c>
      <c r="H50" t="s">
        <v>22</v>
      </c>
      <c r="I50">
        <v>7</v>
      </c>
      <c r="J50">
        <v>20</v>
      </c>
      <c r="K50">
        <v>1.9</v>
      </c>
      <c r="L50">
        <v>0</v>
      </c>
    </row>
    <row r="51" spans="1:13" x14ac:dyDescent="0.3">
      <c r="A51" t="s">
        <v>174</v>
      </c>
      <c r="B51" t="s">
        <v>175</v>
      </c>
      <c r="C51" t="str">
        <f t="shared" si="1"/>
        <v>Lance Griffin</v>
      </c>
      <c r="D51" t="s">
        <v>45</v>
      </c>
      <c r="E51">
        <v>29</v>
      </c>
      <c r="F51" t="s">
        <v>40</v>
      </c>
      <c r="G51" t="s">
        <v>41</v>
      </c>
      <c r="H51" t="s">
        <v>69</v>
      </c>
      <c r="I51">
        <v>1</v>
      </c>
      <c r="J51">
        <v>20</v>
      </c>
      <c r="K51">
        <v>1.4</v>
      </c>
      <c r="L51">
        <v>1</v>
      </c>
      <c r="M51" s="1">
        <v>0.63</v>
      </c>
    </row>
    <row r="52" spans="1:13" x14ac:dyDescent="0.3">
      <c r="A52" t="s">
        <v>176</v>
      </c>
      <c r="B52" t="s">
        <v>177</v>
      </c>
      <c r="C52" t="str">
        <f t="shared" si="1"/>
        <v>Julie Burgess</v>
      </c>
      <c r="D52" t="s">
        <v>19</v>
      </c>
      <c r="E52">
        <v>23</v>
      </c>
      <c r="F52" t="s">
        <v>67</v>
      </c>
      <c r="G52" t="s">
        <v>68</v>
      </c>
      <c r="H52" t="s">
        <v>74</v>
      </c>
      <c r="I52">
        <v>0</v>
      </c>
      <c r="J52">
        <v>75</v>
      </c>
      <c r="K52">
        <v>1.9</v>
      </c>
      <c r="L52" t="b">
        <v>1</v>
      </c>
      <c r="M52" s="1">
        <v>0.79</v>
      </c>
    </row>
    <row r="53" spans="1:13" x14ac:dyDescent="0.3">
      <c r="A53" t="s">
        <v>178</v>
      </c>
      <c r="B53" t="s">
        <v>179</v>
      </c>
      <c r="C53" t="str">
        <f t="shared" si="1"/>
        <v>Don Scott</v>
      </c>
      <c r="D53" t="s">
        <v>26</v>
      </c>
      <c r="E53">
        <v>31</v>
      </c>
      <c r="F53" t="s">
        <v>130</v>
      </c>
      <c r="G53" t="s">
        <v>131</v>
      </c>
      <c r="H53" t="s">
        <v>48</v>
      </c>
      <c r="I53">
        <v>8</v>
      </c>
      <c r="J53">
        <v>50</v>
      </c>
      <c r="K53">
        <v>3.4</v>
      </c>
      <c r="L53">
        <v>0</v>
      </c>
    </row>
    <row r="54" spans="1:13" x14ac:dyDescent="0.3">
      <c r="A54" t="s">
        <v>180</v>
      </c>
      <c r="B54" t="s">
        <v>181</v>
      </c>
      <c r="C54" t="str">
        <f t="shared" si="1"/>
        <v>Kyle Atkinson</v>
      </c>
      <c r="D54" t="s">
        <v>93</v>
      </c>
      <c r="E54">
        <v>51</v>
      </c>
      <c r="F54" t="s">
        <v>27</v>
      </c>
      <c r="G54" t="s">
        <v>28</v>
      </c>
      <c r="H54" t="s">
        <v>110</v>
      </c>
      <c r="I54">
        <v>33</v>
      </c>
      <c r="J54">
        <v>75</v>
      </c>
      <c r="K54">
        <v>3.3</v>
      </c>
      <c r="M54" s="1">
        <v>0.68</v>
      </c>
    </row>
    <row r="55" spans="1:13" x14ac:dyDescent="0.3">
      <c r="A55" t="s">
        <v>182</v>
      </c>
      <c r="B55" t="s">
        <v>183</v>
      </c>
      <c r="C55" t="str">
        <f t="shared" si="1"/>
        <v>Jimmy Hogan</v>
      </c>
      <c r="D55" t="s">
        <v>45</v>
      </c>
      <c r="F55" t="s">
        <v>184</v>
      </c>
      <c r="G55" t="s">
        <v>68</v>
      </c>
      <c r="H55" t="s">
        <v>69</v>
      </c>
      <c r="I55">
        <v>1</v>
      </c>
      <c r="J55">
        <v>30</v>
      </c>
      <c r="K55">
        <v>0</v>
      </c>
      <c r="L55">
        <v>0</v>
      </c>
      <c r="M55" s="1">
        <v>0.68</v>
      </c>
    </row>
    <row r="56" spans="1:13" x14ac:dyDescent="0.3">
      <c r="A56" t="s">
        <v>185</v>
      </c>
      <c r="B56" t="s">
        <v>186</v>
      </c>
      <c r="C56" t="str">
        <f t="shared" si="1"/>
        <v>Jennifer Mcintyre</v>
      </c>
      <c r="D56" t="s">
        <v>13</v>
      </c>
      <c r="E56">
        <v>29</v>
      </c>
      <c r="F56" t="s">
        <v>59</v>
      </c>
      <c r="G56" t="s">
        <v>60</v>
      </c>
      <c r="H56" t="s">
        <v>74</v>
      </c>
      <c r="I56">
        <v>11</v>
      </c>
      <c r="J56">
        <v>100</v>
      </c>
      <c r="K56">
        <v>2.2999999999999998</v>
      </c>
      <c r="L56" t="b">
        <v>1</v>
      </c>
      <c r="M56" s="1">
        <v>0.72</v>
      </c>
    </row>
    <row r="57" spans="1:13" x14ac:dyDescent="0.3">
      <c r="A57" t="s">
        <v>187</v>
      </c>
      <c r="B57" t="s">
        <v>188</v>
      </c>
      <c r="C57" t="str">
        <f t="shared" si="1"/>
        <v>Larry Simpson</v>
      </c>
      <c r="D57" t="s">
        <v>45</v>
      </c>
      <c r="E57">
        <v>50</v>
      </c>
      <c r="F57" t="s">
        <v>63</v>
      </c>
      <c r="G57" t="s">
        <v>21</v>
      </c>
      <c r="H57" t="s">
        <v>42</v>
      </c>
      <c r="I57">
        <v>15</v>
      </c>
      <c r="K57">
        <v>2</v>
      </c>
      <c r="L57" t="s">
        <v>64</v>
      </c>
      <c r="M57" s="1">
        <v>0.65</v>
      </c>
    </row>
    <row r="58" spans="1:13" x14ac:dyDescent="0.3">
      <c r="A58" t="s">
        <v>189</v>
      </c>
      <c r="B58" t="s">
        <v>190</v>
      </c>
      <c r="C58" t="str">
        <f t="shared" si="1"/>
        <v>Laura Price</v>
      </c>
      <c r="D58" t="s">
        <v>13</v>
      </c>
      <c r="E58">
        <v>26</v>
      </c>
      <c r="F58" t="s">
        <v>63</v>
      </c>
      <c r="G58" t="s">
        <v>21</v>
      </c>
      <c r="H58" t="s">
        <v>85</v>
      </c>
      <c r="I58">
        <v>8</v>
      </c>
      <c r="J58">
        <v>50</v>
      </c>
      <c r="K58">
        <v>1.3</v>
      </c>
      <c r="L58" t="b">
        <v>0</v>
      </c>
      <c r="M58" s="1">
        <v>0.76</v>
      </c>
    </row>
    <row r="59" spans="1:13" x14ac:dyDescent="0.3">
      <c r="A59" t="s">
        <v>191</v>
      </c>
      <c r="B59" t="s">
        <v>192</v>
      </c>
      <c r="C59" t="str">
        <f t="shared" si="1"/>
        <v>Mark Wright</v>
      </c>
      <c r="D59" t="s">
        <v>93</v>
      </c>
      <c r="E59">
        <v>38</v>
      </c>
      <c r="F59" t="s">
        <v>123</v>
      </c>
      <c r="G59" t="s">
        <v>21</v>
      </c>
      <c r="H59" t="s">
        <v>42</v>
      </c>
      <c r="I59">
        <v>17</v>
      </c>
      <c r="J59" t="s">
        <v>52</v>
      </c>
      <c r="K59">
        <v>4</v>
      </c>
      <c r="L59" t="b">
        <v>1</v>
      </c>
      <c r="M59" s="1">
        <v>0.9</v>
      </c>
    </row>
    <row r="60" spans="1:13" x14ac:dyDescent="0.3">
      <c r="A60" t="s">
        <v>193</v>
      </c>
      <c r="B60" t="s">
        <v>194</v>
      </c>
      <c r="C60" t="str">
        <f t="shared" si="1"/>
        <v>Samantha Mcdaniel</v>
      </c>
      <c r="D60" t="s">
        <v>19</v>
      </c>
      <c r="E60">
        <v>23</v>
      </c>
      <c r="F60" t="s">
        <v>89</v>
      </c>
      <c r="G60" t="s">
        <v>90</v>
      </c>
      <c r="H60" t="s">
        <v>22</v>
      </c>
      <c r="J60">
        <v>75</v>
      </c>
      <c r="K60">
        <v>3.6</v>
      </c>
      <c r="L60">
        <v>1</v>
      </c>
      <c r="M60" s="1">
        <v>0.65</v>
      </c>
    </row>
    <row r="61" spans="1:13" x14ac:dyDescent="0.3">
      <c r="A61" t="s">
        <v>195</v>
      </c>
      <c r="B61" t="s">
        <v>196</v>
      </c>
      <c r="C61" t="str">
        <f t="shared" si="1"/>
        <v>Barbara Foster</v>
      </c>
      <c r="D61" t="s">
        <v>73</v>
      </c>
      <c r="E61">
        <v>51</v>
      </c>
      <c r="F61" t="s">
        <v>148</v>
      </c>
      <c r="G61" t="s">
        <v>149</v>
      </c>
      <c r="H61" t="s">
        <v>85</v>
      </c>
      <c r="I61">
        <v>28</v>
      </c>
      <c r="J61">
        <v>40</v>
      </c>
      <c r="K61">
        <v>3.9</v>
      </c>
      <c r="L61">
        <v>0</v>
      </c>
      <c r="M61" s="1">
        <v>0.63</v>
      </c>
    </row>
    <row r="62" spans="1:13" x14ac:dyDescent="0.3">
      <c r="A62" t="s">
        <v>197</v>
      </c>
      <c r="B62" t="s">
        <v>198</v>
      </c>
      <c r="C62" t="str">
        <f t="shared" si="1"/>
        <v>Courtney Tran</v>
      </c>
      <c r="D62" t="s">
        <v>33</v>
      </c>
      <c r="E62">
        <v>51</v>
      </c>
      <c r="F62" t="s">
        <v>46</v>
      </c>
      <c r="G62" t="s">
        <v>47</v>
      </c>
      <c r="H62" t="s">
        <v>42</v>
      </c>
      <c r="I62">
        <v>33</v>
      </c>
      <c r="J62" s="2">
        <v>75</v>
      </c>
      <c r="K62">
        <v>0</v>
      </c>
      <c r="L62" t="b">
        <v>1</v>
      </c>
    </row>
    <row r="63" spans="1:13" x14ac:dyDescent="0.3">
      <c r="A63" t="s">
        <v>199</v>
      </c>
      <c r="B63" t="s">
        <v>200</v>
      </c>
      <c r="C63" t="str">
        <f t="shared" si="1"/>
        <v>Eddie Todd</v>
      </c>
      <c r="D63" t="s">
        <v>93</v>
      </c>
      <c r="E63">
        <v>47</v>
      </c>
      <c r="F63" t="s">
        <v>27</v>
      </c>
      <c r="G63" t="s">
        <v>28</v>
      </c>
      <c r="H63" t="s">
        <v>42</v>
      </c>
      <c r="I63">
        <v>18</v>
      </c>
      <c r="J63">
        <v>75</v>
      </c>
      <c r="K63">
        <v>0</v>
      </c>
      <c r="L63">
        <v>0</v>
      </c>
    </row>
    <row r="64" spans="1:13" x14ac:dyDescent="0.3">
      <c r="A64" t="s">
        <v>201</v>
      </c>
      <c r="B64" t="s">
        <v>202</v>
      </c>
      <c r="C64" t="str">
        <f t="shared" si="1"/>
        <v>Christine Johnson</v>
      </c>
      <c r="D64" t="s">
        <v>73</v>
      </c>
      <c r="E64">
        <v>34</v>
      </c>
      <c r="F64" t="s">
        <v>119</v>
      </c>
      <c r="G64" t="s">
        <v>120</v>
      </c>
      <c r="H64" t="s">
        <v>69</v>
      </c>
      <c r="I64">
        <v>16</v>
      </c>
      <c r="J64" s="2">
        <v>20</v>
      </c>
      <c r="K64">
        <v>2.2999999999999998</v>
      </c>
      <c r="L64" t="s">
        <v>64</v>
      </c>
      <c r="M64" s="1">
        <v>0.93</v>
      </c>
    </row>
    <row r="65" spans="1:13" x14ac:dyDescent="0.3">
      <c r="A65" t="s">
        <v>203</v>
      </c>
      <c r="B65" t="s">
        <v>204</v>
      </c>
      <c r="C65" t="str">
        <f t="shared" si="1"/>
        <v>Leah Phelps</v>
      </c>
      <c r="D65" t="s">
        <v>13</v>
      </c>
      <c r="E65">
        <v>58</v>
      </c>
      <c r="F65" t="s">
        <v>46</v>
      </c>
      <c r="G65" t="s">
        <v>47</v>
      </c>
      <c r="H65" t="s">
        <v>48</v>
      </c>
      <c r="I65">
        <v>35</v>
      </c>
      <c r="J65" t="s">
        <v>94</v>
      </c>
      <c r="K65">
        <v>4.7</v>
      </c>
      <c r="L65" t="s">
        <v>154</v>
      </c>
      <c r="M65" s="1">
        <v>0.7</v>
      </c>
    </row>
    <row r="66" spans="1:13" x14ac:dyDescent="0.3">
      <c r="A66" t="s">
        <v>205</v>
      </c>
      <c r="B66" t="s">
        <v>206</v>
      </c>
      <c r="C66" t="str">
        <f t="shared" si="1"/>
        <v>Rebekah Williams</v>
      </c>
      <c r="D66" t="s">
        <v>33</v>
      </c>
      <c r="E66">
        <v>50</v>
      </c>
      <c r="F66" t="s">
        <v>119</v>
      </c>
      <c r="G66" t="s">
        <v>120</v>
      </c>
      <c r="H66" t="s">
        <v>42</v>
      </c>
      <c r="I66">
        <v>14</v>
      </c>
      <c r="K66">
        <v>3.5</v>
      </c>
      <c r="L66" t="s">
        <v>70</v>
      </c>
      <c r="M66" s="1">
        <v>0.83</v>
      </c>
    </row>
    <row r="67" spans="1:13" x14ac:dyDescent="0.3">
      <c r="A67" t="s">
        <v>207</v>
      </c>
      <c r="B67" t="s">
        <v>208</v>
      </c>
      <c r="C67" t="str">
        <f t="shared" si="1"/>
        <v>Crystal Wilson</v>
      </c>
      <c r="D67" t="s">
        <v>19</v>
      </c>
      <c r="E67">
        <v>34</v>
      </c>
      <c r="F67" t="s">
        <v>184</v>
      </c>
      <c r="G67" t="s">
        <v>68</v>
      </c>
      <c r="H67" t="s">
        <v>34</v>
      </c>
      <c r="I67">
        <v>12</v>
      </c>
      <c r="J67">
        <v>40</v>
      </c>
      <c r="K67">
        <v>2.4</v>
      </c>
      <c r="L67">
        <v>1</v>
      </c>
      <c r="M67">
        <v>64</v>
      </c>
    </row>
    <row r="68" spans="1:13" x14ac:dyDescent="0.3">
      <c r="A68" t="s">
        <v>209</v>
      </c>
      <c r="B68" t="s">
        <v>210</v>
      </c>
      <c r="C68" t="str">
        <f t="shared" si="1"/>
        <v>Ashley Cordova</v>
      </c>
      <c r="D68" t="s">
        <v>73</v>
      </c>
      <c r="E68">
        <v>45</v>
      </c>
      <c r="F68" t="s">
        <v>103</v>
      </c>
      <c r="G68" t="s">
        <v>104</v>
      </c>
      <c r="H68" t="s">
        <v>42</v>
      </c>
      <c r="I68">
        <v>11</v>
      </c>
      <c r="J68" t="s">
        <v>49</v>
      </c>
      <c r="K68">
        <v>4</v>
      </c>
      <c r="L68" t="s">
        <v>30</v>
      </c>
      <c r="M68" s="1">
        <v>1</v>
      </c>
    </row>
    <row r="69" spans="1:13" x14ac:dyDescent="0.3">
      <c r="A69" t="s">
        <v>211</v>
      </c>
      <c r="B69" t="s">
        <v>212</v>
      </c>
      <c r="C69" t="str">
        <f t="shared" si="1"/>
        <v>Vicki Kelly</v>
      </c>
      <c r="D69" t="s">
        <v>19</v>
      </c>
      <c r="E69">
        <v>55</v>
      </c>
      <c r="F69" t="s">
        <v>103</v>
      </c>
      <c r="G69" t="s">
        <v>104</v>
      </c>
      <c r="H69" t="s">
        <v>34</v>
      </c>
      <c r="I69">
        <v>0</v>
      </c>
      <c r="J69" s="2">
        <v>40</v>
      </c>
      <c r="K69">
        <v>0</v>
      </c>
      <c r="L69" t="b">
        <v>1</v>
      </c>
    </row>
    <row r="70" spans="1:13" x14ac:dyDescent="0.3">
      <c r="A70" t="s">
        <v>213</v>
      </c>
      <c r="B70" t="s">
        <v>214</v>
      </c>
      <c r="C70" t="str">
        <f t="shared" si="1"/>
        <v>Corey Warren</v>
      </c>
      <c r="D70" t="s">
        <v>45</v>
      </c>
      <c r="F70" t="s">
        <v>67</v>
      </c>
      <c r="G70" t="s">
        <v>68</v>
      </c>
      <c r="H70" t="s">
        <v>69</v>
      </c>
      <c r="I70">
        <v>6</v>
      </c>
      <c r="J70">
        <v>100</v>
      </c>
      <c r="K70">
        <v>1.5</v>
      </c>
      <c r="L70" t="b">
        <v>0</v>
      </c>
    </row>
    <row r="71" spans="1:13" x14ac:dyDescent="0.3">
      <c r="A71" t="s">
        <v>215</v>
      </c>
      <c r="B71" t="s">
        <v>216</v>
      </c>
      <c r="C71" t="str">
        <f t="shared" si="1"/>
        <v>Gina Thompson</v>
      </c>
      <c r="D71" t="s">
        <v>19</v>
      </c>
      <c r="E71">
        <v>60</v>
      </c>
      <c r="F71" t="s">
        <v>169</v>
      </c>
      <c r="G71" t="s">
        <v>170</v>
      </c>
      <c r="H71" t="s">
        <v>69</v>
      </c>
      <c r="I71">
        <v>38</v>
      </c>
      <c r="J71" s="2">
        <v>20</v>
      </c>
      <c r="K71">
        <v>2</v>
      </c>
      <c r="L71" t="s">
        <v>154</v>
      </c>
      <c r="M71" s="1">
        <v>0.71</v>
      </c>
    </row>
    <row r="72" spans="1:13" x14ac:dyDescent="0.3">
      <c r="A72" t="s">
        <v>217</v>
      </c>
      <c r="B72" t="s">
        <v>218</v>
      </c>
      <c r="C72" t="str">
        <f t="shared" si="1"/>
        <v>Yvonne Berg</v>
      </c>
      <c r="D72" t="s">
        <v>13</v>
      </c>
      <c r="E72">
        <v>33</v>
      </c>
      <c r="F72" t="s">
        <v>148</v>
      </c>
      <c r="G72" t="s">
        <v>149</v>
      </c>
      <c r="H72" t="s">
        <v>22</v>
      </c>
      <c r="I72">
        <v>11</v>
      </c>
      <c r="L72" t="s">
        <v>64</v>
      </c>
      <c r="M72" s="1">
        <v>0.84</v>
      </c>
    </row>
    <row r="73" spans="1:13" x14ac:dyDescent="0.3">
      <c r="A73" t="s">
        <v>219</v>
      </c>
      <c r="B73" t="s">
        <v>220</v>
      </c>
      <c r="C73" t="str">
        <f t="shared" si="1"/>
        <v>Thomas Miller</v>
      </c>
      <c r="D73" t="s">
        <v>88</v>
      </c>
      <c r="E73">
        <v>60</v>
      </c>
      <c r="F73" t="s">
        <v>14</v>
      </c>
      <c r="G73" t="s">
        <v>15</v>
      </c>
      <c r="H73" t="s">
        <v>85</v>
      </c>
      <c r="I73">
        <v>13</v>
      </c>
      <c r="J73" t="s">
        <v>94</v>
      </c>
      <c r="K73">
        <v>1</v>
      </c>
      <c r="L73" t="b">
        <v>0</v>
      </c>
    </row>
    <row r="74" spans="1:13" x14ac:dyDescent="0.3">
      <c r="A74" t="s">
        <v>221</v>
      </c>
      <c r="B74" t="s">
        <v>222</v>
      </c>
      <c r="C74" t="str">
        <f t="shared" si="1"/>
        <v>Nicholas Burton</v>
      </c>
      <c r="D74" t="s">
        <v>58</v>
      </c>
      <c r="E74">
        <v>40</v>
      </c>
      <c r="F74" t="s">
        <v>55</v>
      </c>
      <c r="G74" t="s">
        <v>21</v>
      </c>
      <c r="H74" t="s">
        <v>34</v>
      </c>
      <c r="I74">
        <v>9</v>
      </c>
      <c r="J74" s="2">
        <v>100</v>
      </c>
      <c r="K74">
        <v>4.5</v>
      </c>
      <c r="L74" t="s">
        <v>64</v>
      </c>
      <c r="M74" s="1">
        <v>0.69</v>
      </c>
    </row>
    <row r="75" spans="1:13" x14ac:dyDescent="0.3">
      <c r="A75" t="s">
        <v>223</v>
      </c>
      <c r="B75" t="s">
        <v>224</v>
      </c>
      <c r="C75" t="str">
        <f t="shared" si="1"/>
        <v>Jorge Riley</v>
      </c>
      <c r="D75" t="s">
        <v>93</v>
      </c>
      <c r="E75">
        <v>59</v>
      </c>
      <c r="F75" t="s">
        <v>20</v>
      </c>
      <c r="G75" t="s">
        <v>21</v>
      </c>
      <c r="H75" t="s">
        <v>16</v>
      </c>
      <c r="I75">
        <v>4</v>
      </c>
      <c r="K75">
        <v>1.9</v>
      </c>
      <c r="L75" t="b">
        <v>0</v>
      </c>
      <c r="M75">
        <v>88</v>
      </c>
    </row>
    <row r="76" spans="1:13" x14ac:dyDescent="0.3">
      <c r="A76" t="s">
        <v>225</v>
      </c>
      <c r="B76" t="s">
        <v>226</v>
      </c>
      <c r="C76" t="str">
        <f t="shared" si="1"/>
        <v>Melvin Harris</v>
      </c>
      <c r="D76" t="s">
        <v>88</v>
      </c>
      <c r="E76">
        <v>36</v>
      </c>
      <c r="F76" t="s">
        <v>14</v>
      </c>
      <c r="G76" t="s">
        <v>15</v>
      </c>
      <c r="H76" t="s">
        <v>110</v>
      </c>
      <c r="I76">
        <v>14</v>
      </c>
      <c r="J76" s="2">
        <v>100</v>
      </c>
      <c r="K76">
        <v>3.7</v>
      </c>
      <c r="L76">
        <v>0</v>
      </c>
    </row>
    <row r="77" spans="1:13" x14ac:dyDescent="0.3">
      <c r="A77" t="s">
        <v>227</v>
      </c>
      <c r="B77" t="s">
        <v>228</v>
      </c>
      <c r="C77" t="str">
        <f t="shared" si="1"/>
        <v>Jeremy Meyer</v>
      </c>
      <c r="D77" t="s">
        <v>93</v>
      </c>
      <c r="E77">
        <v>32</v>
      </c>
      <c r="F77" t="s">
        <v>89</v>
      </c>
      <c r="G77" t="s">
        <v>90</v>
      </c>
      <c r="H77" t="s">
        <v>48</v>
      </c>
      <c r="J77">
        <v>30</v>
      </c>
      <c r="K77">
        <v>1.9</v>
      </c>
      <c r="L77" t="b">
        <v>1</v>
      </c>
      <c r="M77" s="1">
        <v>0.96</v>
      </c>
    </row>
    <row r="78" spans="1:13" x14ac:dyDescent="0.3">
      <c r="A78" t="s">
        <v>229</v>
      </c>
      <c r="B78" t="s">
        <v>230</v>
      </c>
      <c r="C78" t="str">
        <f t="shared" si="1"/>
        <v>Timothy Lee</v>
      </c>
      <c r="D78" t="s">
        <v>26</v>
      </c>
      <c r="E78">
        <v>59</v>
      </c>
      <c r="F78" t="s">
        <v>20</v>
      </c>
      <c r="G78" t="s">
        <v>21</v>
      </c>
      <c r="H78" t="s">
        <v>42</v>
      </c>
      <c r="I78">
        <v>9</v>
      </c>
      <c r="J78" t="s">
        <v>49</v>
      </c>
      <c r="K78">
        <v>4</v>
      </c>
      <c r="L78">
        <v>1</v>
      </c>
      <c r="M78">
        <v>96</v>
      </c>
    </row>
    <row r="79" spans="1:13" x14ac:dyDescent="0.3">
      <c r="A79" t="s">
        <v>231</v>
      </c>
      <c r="B79" t="s">
        <v>232</v>
      </c>
      <c r="C79" t="str">
        <f t="shared" si="1"/>
        <v>Diana Bautista</v>
      </c>
      <c r="D79" t="s">
        <v>33</v>
      </c>
      <c r="E79">
        <v>54</v>
      </c>
      <c r="F79" t="s">
        <v>184</v>
      </c>
      <c r="G79" t="s">
        <v>68</v>
      </c>
      <c r="H79" t="s">
        <v>85</v>
      </c>
      <c r="I79">
        <v>32</v>
      </c>
      <c r="J79" t="s">
        <v>52</v>
      </c>
      <c r="K79">
        <v>1.8</v>
      </c>
      <c r="L79" t="s">
        <v>30</v>
      </c>
    </row>
    <row r="80" spans="1:13" x14ac:dyDescent="0.3">
      <c r="A80" t="s">
        <v>233</v>
      </c>
      <c r="B80" t="s">
        <v>234</v>
      </c>
      <c r="C80" t="str">
        <f t="shared" si="1"/>
        <v>Leslie Rodriguez</v>
      </c>
      <c r="D80" t="s">
        <v>13</v>
      </c>
      <c r="E80">
        <v>37</v>
      </c>
      <c r="F80" t="s">
        <v>123</v>
      </c>
      <c r="G80" t="s">
        <v>21</v>
      </c>
      <c r="H80" t="s">
        <v>29</v>
      </c>
      <c r="I80">
        <v>9</v>
      </c>
      <c r="K80">
        <v>0</v>
      </c>
      <c r="L80">
        <v>1</v>
      </c>
      <c r="M80" s="1">
        <v>0.89</v>
      </c>
    </row>
    <row r="81" spans="1:13" x14ac:dyDescent="0.3">
      <c r="A81" t="s">
        <v>235</v>
      </c>
      <c r="B81" t="s">
        <v>236</v>
      </c>
      <c r="C81" t="str">
        <f t="shared" si="1"/>
        <v>Noah Wiggins</v>
      </c>
      <c r="D81" t="s">
        <v>58</v>
      </c>
      <c r="E81">
        <v>54</v>
      </c>
      <c r="F81" t="s">
        <v>89</v>
      </c>
      <c r="G81" t="s">
        <v>90</v>
      </c>
      <c r="H81" t="s">
        <v>110</v>
      </c>
      <c r="I81">
        <v>21</v>
      </c>
      <c r="J81" s="2">
        <v>100</v>
      </c>
      <c r="K81">
        <v>4.5999999999999996</v>
      </c>
      <c r="L81" t="b">
        <v>0</v>
      </c>
    </row>
    <row r="82" spans="1:13" x14ac:dyDescent="0.3">
      <c r="A82" t="s">
        <v>237</v>
      </c>
      <c r="B82" t="s">
        <v>238</v>
      </c>
      <c r="C82" t="str">
        <f t="shared" si="1"/>
        <v>Bridget Williams</v>
      </c>
      <c r="D82" t="s">
        <v>73</v>
      </c>
      <c r="E82">
        <v>33</v>
      </c>
      <c r="F82" t="s">
        <v>67</v>
      </c>
      <c r="G82" t="s">
        <v>68</v>
      </c>
      <c r="H82" t="s">
        <v>69</v>
      </c>
      <c r="I82">
        <v>12</v>
      </c>
      <c r="J82">
        <v>100</v>
      </c>
      <c r="K82">
        <v>3.6</v>
      </c>
      <c r="L82">
        <v>0</v>
      </c>
      <c r="M82" s="1">
        <v>0.63</v>
      </c>
    </row>
    <row r="83" spans="1:13" x14ac:dyDescent="0.3">
      <c r="A83" t="s">
        <v>239</v>
      </c>
      <c r="B83" t="s">
        <v>240</v>
      </c>
      <c r="C83" t="str">
        <f t="shared" si="1"/>
        <v>Veronica Baker</v>
      </c>
      <c r="D83" t="s">
        <v>13</v>
      </c>
      <c r="E83">
        <v>25</v>
      </c>
      <c r="F83" t="s">
        <v>134</v>
      </c>
      <c r="G83" t="s">
        <v>135</v>
      </c>
      <c r="H83" t="s">
        <v>34</v>
      </c>
      <c r="I83">
        <v>7</v>
      </c>
      <c r="J83" t="s">
        <v>52</v>
      </c>
      <c r="K83">
        <v>4.4000000000000004</v>
      </c>
      <c r="M83">
        <v>81</v>
      </c>
    </row>
    <row r="84" spans="1:13" x14ac:dyDescent="0.3">
      <c r="A84" t="s">
        <v>241</v>
      </c>
      <c r="B84" t="s">
        <v>242</v>
      </c>
      <c r="C84" t="str">
        <f t="shared" si="1"/>
        <v>Andrew Avila</v>
      </c>
      <c r="D84" t="s">
        <v>93</v>
      </c>
      <c r="F84" t="s">
        <v>169</v>
      </c>
      <c r="G84" t="s">
        <v>170</v>
      </c>
      <c r="H84" t="s">
        <v>85</v>
      </c>
      <c r="I84">
        <v>3</v>
      </c>
      <c r="J84">
        <v>40</v>
      </c>
      <c r="K84">
        <v>4.5999999999999996</v>
      </c>
      <c r="L84" t="s">
        <v>30</v>
      </c>
      <c r="M84" s="1">
        <v>0.74</v>
      </c>
    </row>
    <row r="85" spans="1:13" x14ac:dyDescent="0.3">
      <c r="A85" t="s">
        <v>243</v>
      </c>
      <c r="B85" t="s">
        <v>244</v>
      </c>
      <c r="C85" t="str">
        <f t="shared" si="1"/>
        <v>Michael Roberson</v>
      </c>
      <c r="D85" t="s">
        <v>26</v>
      </c>
      <c r="E85">
        <v>35</v>
      </c>
      <c r="F85" t="s">
        <v>108</v>
      </c>
      <c r="G85" t="s">
        <v>109</v>
      </c>
      <c r="H85" t="s">
        <v>34</v>
      </c>
      <c r="I85">
        <v>5</v>
      </c>
      <c r="J85" s="2">
        <v>75</v>
      </c>
      <c r="K85">
        <v>3.2</v>
      </c>
      <c r="L85" t="b">
        <v>0</v>
      </c>
      <c r="M85" s="1">
        <v>0.72</v>
      </c>
    </row>
    <row r="86" spans="1:13" x14ac:dyDescent="0.3">
      <c r="A86" t="s">
        <v>245</v>
      </c>
      <c r="B86" t="s">
        <v>246</v>
      </c>
      <c r="C86" t="str">
        <f t="shared" si="1"/>
        <v>Austin Jenkins</v>
      </c>
      <c r="D86" t="s">
        <v>93</v>
      </c>
      <c r="E86">
        <v>59</v>
      </c>
      <c r="F86" t="s">
        <v>108</v>
      </c>
      <c r="G86" t="s">
        <v>109</v>
      </c>
      <c r="H86" t="s">
        <v>42</v>
      </c>
      <c r="I86">
        <v>30</v>
      </c>
      <c r="J86" s="2">
        <v>40</v>
      </c>
      <c r="K86">
        <v>0</v>
      </c>
      <c r="L86" t="b">
        <v>1</v>
      </c>
    </row>
    <row r="87" spans="1:13" x14ac:dyDescent="0.3">
      <c r="A87" t="s">
        <v>247</v>
      </c>
      <c r="B87" t="s">
        <v>248</v>
      </c>
      <c r="C87" t="str">
        <f t="shared" si="1"/>
        <v>Brenda Green</v>
      </c>
      <c r="D87" t="s">
        <v>37</v>
      </c>
      <c r="E87">
        <v>21</v>
      </c>
      <c r="F87" t="s">
        <v>169</v>
      </c>
      <c r="G87" t="s">
        <v>170</v>
      </c>
      <c r="H87" t="s">
        <v>85</v>
      </c>
      <c r="I87">
        <v>2</v>
      </c>
      <c r="J87">
        <v>100</v>
      </c>
      <c r="K87">
        <v>2.6</v>
      </c>
      <c r="L87" t="s">
        <v>70</v>
      </c>
      <c r="M87" s="1">
        <v>0.85</v>
      </c>
    </row>
    <row r="88" spans="1:13" x14ac:dyDescent="0.3">
      <c r="A88" t="s">
        <v>249</v>
      </c>
      <c r="B88" t="s">
        <v>250</v>
      </c>
      <c r="C88" t="str">
        <f t="shared" si="1"/>
        <v>Samuel Pierce</v>
      </c>
      <c r="D88" t="s">
        <v>88</v>
      </c>
      <c r="E88">
        <v>25</v>
      </c>
      <c r="F88" t="s">
        <v>55</v>
      </c>
      <c r="G88" t="s">
        <v>21</v>
      </c>
      <c r="H88" t="s">
        <v>22</v>
      </c>
      <c r="I88">
        <v>2</v>
      </c>
      <c r="J88" s="2">
        <v>75</v>
      </c>
      <c r="K88">
        <v>3.7</v>
      </c>
      <c r="L88" t="s">
        <v>30</v>
      </c>
    </row>
    <row r="89" spans="1:13" x14ac:dyDescent="0.3">
      <c r="A89" t="s">
        <v>251</v>
      </c>
      <c r="B89" t="s">
        <v>252</v>
      </c>
      <c r="C89" t="str">
        <f t="shared" si="1"/>
        <v>Briana Smith</v>
      </c>
      <c r="D89" t="s">
        <v>13</v>
      </c>
      <c r="E89">
        <v>38</v>
      </c>
      <c r="F89" t="s">
        <v>173</v>
      </c>
      <c r="G89" t="s">
        <v>68</v>
      </c>
      <c r="H89" t="s">
        <v>34</v>
      </c>
      <c r="I89">
        <v>19</v>
      </c>
      <c r="J89">
        <v>75</v>
      </c>
      <c r="K89">
        <v>2.2999999999999998</v>
      </c>
      <c r="L89" t="b">
        <v>0</v>
      </c>
      <c r="M89" s="1">
        <v>0.61</v>
      </c>
    </row>
    <row r="90" spans="1:13" x14ac:dyDescent="0.3">
      <c r="A90" t="s">
        <v>253</v>
      </c>
      <c r="B90" t="s">
        <v>254</v>
      </c>
      <c r="C90" t="str">
        <f t="shared" si="1"/>
        <v>Ronald Barrett</v>
      </c>
      <c r="D90" t="s">
        <v>93</v>
      </c>
      <c r="E90">
        <v>57</v>
      </c>
      <c r="F90" t="s">
        <v>119</v>
      </c>
      <c r="G90" t="s">
        <v>120</v>
      </c>
      <c r="H90" t="s">
        <v>42</v>
      </c>
      <c r="I90">
        <v>16</v>
      </c>
      <c r="J90">
        <v>100</v>
      </c>
      <c r="K90">
        <v>3.1</v>
      </c>
      <c r="L90" t="b">
        <v>0</v>
      </c>
    </row>
    <row r="91" spans="1:13" x14ac:dyDescent="0.3">
      <c r="A91" t="s">
        <v>255</v>
      </c>
      <c r="B91" t="s">
        <v>256</v>
      </c>
      <c r="C91" t="str">
        <f t="shared" si="1"/>
        <v>Matthew Smith</v>
      </c>
      <c r="D91" t="s">
        <v>45</v>
      </c>
      <c r="E91">
        <v>32</v>
      </c>
      <c r="F91" t="s">
        <v>89</v>
      </c>
      <c r="G91" t="s">
        <v>90</v>
      </c>
      <c r="H91" t="s">
        <v>22</v>
      </c>
      <c r="I91">
        <v>10</v>
      </c>
      <c r="J91" s="2">
        <v>20</v>
      </c>
      <c r="K91">
        <v>2.4</v>
      </c>
      <c r="L91">
        <v>0</v>
      </c>
      <c r="M91" s="1">
        <v>0.86</v>
      </c>
    </row>
    <row r="92" spans="1:13" x14ac:dyDescent="0.3">
      <c r="A92" t="s">
        <v>257</v>
      </c>
      <c r="B92" t="s">
        <v>258</v>
      </c>
      <c r="C92" t="str">
        <f t="shared" si="1"/>
        <v>Logan Huang</v>
      </c>
      <c r="D92" t="s">
        <v>26</v>
      </c>
      <c r="E92">
        <v>21</v>
      </c>
      <c r="F92" t="s">
        <v>14</v>
      </c>
      <c r="G92" t="s">
        <v>15</v>
      </c>
      <c r="H92" t="s">
        <v>85</v>
      </c>
      <c r="I92">
        <v>2</v>
      </c>
      <c r="J92" t="s">
        <v>23</v>
      </c>
      <c r="K92">
        <v>1.6</v>
      </c>
      <c r="L92" t="s">
        <v>64</v>
      </c>
      <c r="M92" s="1">
        <v>0.97</v>
      </c>
    </row>
    <row r="93" spans="1:13" x14ac:dyDescent="0.3">
      <c r="A93" t="s">
        <v>259</v>
      </c>
      <c r="B93" t="s">
        <v>260</v>
      </c>
      <c r="C93" t="str">
        <f t="shared" si="1"/>
        <v>Miranda Hutchinson</v>
      </c>
      <c r="D93" t="s">
        <v>73</v>
      </c>
      <c r="E93">
        <v>57</v>
      </c>
      <c r="F93" t="s">
        <v>123</v>
      </c>
      <c r="G93" t="s">
        <v>21</v>
      </c>
      <c r="H93" t="s">
        <v>74</v>
      </c>
      <c r="I93">
        <v>18</v>
      </c>
      <c r="J93">
        <v>50</v>
      </c>
      <c r="K93">
        <v>2.4</v>
      </c>
      <c r="L93">
        <v>1</v>
      </c>
      <c r="M93" s="1">
        <v>0.63</v>
      </c>
    </row>
    <row r="94" spans="1:13" x14ac:dyDescent="0.3">
      <c r="A94" t="s">
        <v>261</v>
      </c>
      <c r="B94" t="s">
        <v>262</v>
      </c>
      <c r="C94" t="str">
        <f t="shared" si="1"/>
        <v>Paul Richardson</v>
      </c>
      <c r="D94" t="s">
        <v>26</v>
      </c>
      <c r="E94">
        <v>53</v>
      </c>
      <c r="F94" t="s">
        <v>169</v>
      </c>
      <c r="G94" t="s">
        <v>170</v>
      </c>
      <c r="H94" t="s">
        <v>69</v>
      </c>
      <c r="I94">
        <v>21</v>
      </c>
      <c r="J94" t="s">
        <v>23</v>
      </c>
      <c r="L94" t="s">
        <v>70</v>
      </c>
      <c r="M94" s="1">
        <v>0.97</v>
      </c>
    </row>
    <row r="95" spans="1:13" x14ac:dyDescent="0.3">
      <c r="A95" t="s">
        <v>263</v>
      </c>
      <c r="B95" t="s">
        <v>264</v>
      </c>
      <c r="C95" t="str">
        <f t="shared" si="1"/>
        <v>Jose Jones</v>
      </c>
      <c r="D95" t="s">
        <v>88</v>
      </c>
      <c r="E95">
        <v>35</v>
      </c>
      <c r="F95" t="s">
        <v>119</v>
      </c>
      <c r="G95" t="s">
        <v>120</v>
      </c>
      <c r="H95" t="s">
        <v>16</v>
      </c>
      <c r="I95">
        <v>3</v>
      </c>
      <c r="J95" t="s">
        <v>105</v>
      </c>
      <c r="K95">
        <v>3.8</v>
      </c>
      <c r="L95" t="s">
        <v>64</v>
      </c>
      <c r="M95" s="1">
        <v>0.81</v>
      </c>
    </row>
    <row r="96" spans="1:13" x14ac:dyDescent="0.3">
      <c r="A96" t="s">
        <v>265</v>
      </c>
      <c r="B96" t="s">
        <v>266</v>
      </c>
      <c r="C96" t="str">
        <f t="shared" si="1"/>
        <v>Denise Smith</v>
      </c>
      <c r="D96" t="s">
        <v>13</v>
      </c>
      <c r="E96">
        <v>54</v>
      </c>
      <c r="F96" t="s">
        <v>169</v>
      </c>
      <c r="G96" t="s">
        <v>170</v>
      </c>
      <c r="H96" t="s">
        <v>110</v>
      </c>
      <c r="I96">
        <v>17</v>
      </c>
      <c r="J96">
        <v>20</v>
      </c>
      <c r="K96">
        <v>1.7</v>
      </c>
      <c r="L96">
        <v>0</v>
      </c>
      <c r="M96" s="1">
        <v>0.69</v>
      </c>
    </row>
    <row r="97" spans="1:13" x14ac:dyDescent="0.3">
      <c r="A97" t="s">
        <v>267</v>
      </c>
      <c r="B97" t="s">
        <v>268</v>
      </c>
      <c r="C97" t="str">
        <f t="shared" si="1"/>
        <v>Shelby Mcmahon</v>
      </c>
      <c r="D97" t="s">
        <v>19</v>
      </c>
      <c r="E97">
        <v>36</v>
      </c>
      <c r="F97" t="s">
        <v>14</v>
      </c>
      <c r="G97" t="s">
        <v>15</v>
      </c>
      <c r="H97" t="s">
        <v>69</v>
      </c>
      <c r="I97">
        <v>0</v>
      </c>
      <c r="J97">
        <v>20</v>
      </c>
      <c r="K97">
        <v>1.3</v>
      </c>
      <c r="L97" t="s">
        <v>70</v>
      </c>
      <c r="M97" s="1">
        <v>0.64</v>
      </c>
    </row>
    <row r="98" spans="1:13" x14ac:dyDescent="0.3">
      <c r="A98" t="s">
        <v>269</v>
      </c>
      <c r="B98" t="s">
        <v>270</v>
      </c>
      <c r="C98" t="str">
        <f t="shared" si="1"/>
        <v>Bethany Wright</v>
      </c>
      <c r="D98" t="s">
        <v>13</v>
      </c>
      <c r="E98">
        <v>49</v>
      </c>
      <c r="F98" t="s">
        <v>184</v>
      </c>
      <c r="G98" t="s">
        <v>68</v>
      </c>
      <c r="H98" t="s">
        <v>74</v>
      </c>
      <c r="I98">
        <v>25</v>
      </c>
      <c r="J98">
        <v>50</v>
      </c>
      <c r="K98">
        <v>5</v>
      </c>
      <c r="L98" t="s">
        <v>30</v>
      </c>
      <c r="M98" s="1">
        <v>0.77</v>
      </c>
    </row>
    <row r="99" spans="1:13" x14ac:dyDescent="0.3">
      <c r="A99" t="s">
        <v>271</v>
      </c>
      <c r="B99" t="s">
        <v>272</v>
      </c>
      <c r="C99" t="str">
        <f t="shared" si="1"/>
        <v>David Ortiz</v>
      </c>
      <c r="D99" t="s">
        <v>93</v>
      </c>
      <c r="E99">
        <v>37</v>
      </c>
      <c r="F99" t="s">
        <v>55</v>
      </c>
      <c r="G99" t="s">
        <v>21</v>
      </c>
      <c r="H99" t="s">
        <v>16</v>
      </c>
      <c r="I99">
        <v>17</v>
      </c>
      <c r="J99">
        <v>20</v>
      </c>
      <c r="K99">
        <v>3.3</v>
      </c>
      <c r="L99">
        <v>0</v>
      </c>
      <c r="M99">
        <v>96</v>
      </c>
    </row>
    <row r="100" spans="1:13" x14ac:dyDescent="0.3">
      <c r="A100" t="s">
        <v>273</v>
      </c>
      <c r="B100" t="s">
        <v>274</v>
      </c>
      <c r="C100" t="str">
        <f t="shared" si="1"/>
        <v>Andrew Lynch</v>
      </c>
      <c r="D100" t="s">
        <v>58</v>
      </c>
      <c r="F100" t="s">
        <v>55</v>
      </c>
      <c r="G100" t="s">
        <v>21</v>
      </c>
      <c r="H100" t="s">
        <v>69</v>
      </c>
      <c r="I100">
        <v>5</v>
      </c>
      <c r="J100" s="2">
        <v>20</v>
      </c>
      <c r="K100">
        <v>1.1000000000000001</v>
      </c>
      <c r="L100" t="s">
        <v>154</v>
      </c>
      <c r="M100" s="1">
        <v>0.74</v>
      </c>
    </row>
    <row r="101" spans="1:13" x14ac:dyDescent="0.3">
      <c r="A101" t="s">
        <v>275</v>
      </c>
      <c r="B101" t="s">
        <v>276</v>
      </c>
      <c r="C101" t="str">
        <f t="shared" si="1"/>
        <v>Kristopher Meyers</v>
      </c>
      <c r="D101" t="s">
        <v>45</v>
      </c>
      <c r="E101">
        <v>32</v>
      </c>
      <c r="F101" t="s">
        <v>134</v>
      </c>
      <c r="G101" t="s">
        <v>135</v>
      </c>
      <c r="H101" t="s">
        <v>69</v>
      </c>
      <c r="I101">
        <v>10</v>
      </c>
      <c r="J101">
        <v>50</v>
      </c>
      <c r="K101">
        <v>1.2</v>
      </c>
      <c r="L101" t="b">
        <v>0</v>
      </c>
      <c r="M101" s="1">
        <v>0.89</v>
      </c>
    </row>
    <row r="102" spans="1:13" x14ac:dyDescent="0.3">
      <c r="A102" t="s">
        <v>277</v>
      </c>
      <c r="B102" t="s">
        <v>278</v>
      </c>
      <c r="C102" t="str">
        <f t="shared" si="1"/>
        <v>Thomas Roth</v>
      </c>
      <c r="D102" t="s">
        <v>45</v>
      </c>
      <c r="E102">
        <v>35</v>
      </c>
      <c r="F102" t="s">
        <v>89</v>
      </c>
      <c r="G102" t="s">
        <v>90</v>
      </c>
      <c r="H102" t="s">
        <v>22</v>
      </c>
      <c r="I102">
        <v>0</v>
      </c>
      <c r="K102">
        <v>2</v>
      </c>
      <c r="L102">
        <v>1</v>
      </c>
      <c r="M102" s="1">
        <v>0.64</v>
      </c>
    </row>
    <row r="103" spans="1:13" x14ac:dyDescent="0.3">
      <c r="A103" t="s">
        <v>279</v>
      </c>
      <c r="B103" t="s">
        <v>280</v>
      </c>
      <c r="C103" t="str">
        <f t="shared" si="1"/>
        <v>Vicki Brown</v>
      </c>
      <c r="D103" t="s">
        <v>13</v>
      </c>
      <c r="E103">
        <v>51</v>
      </c>
      <c r="F103" t="s">
        <v>119</v>
      </c>
      <c r="G103" t="s">
        <v>120</v>
      </c>
      <c r="H103" t="s">
        <v>29</v>
      </c>
      <c r="I103">
        <v>2</v>
      </c>
      <c r="J103" s="2">
        <v>30</v>
      </c>
      <c r="K103">
        <v>4.5</v>
      </c>
      <c r="L103">
        <v>0</v>
      </c>
      <c r="M103">
        <v>64</v>
      </c>
    </row>
    <row r="104" spans="1:13" x14ac:dyDescent="0.3">
      <c r="A104" t="s">
        <v>281</v>
      </c>
      <c r="B104" t="s">
        <v>282</v>
      </c>
      <c r="C104" t="str">
        <f t="shared" si="1"/>
        <v>Stacy Sutton</v>
      </c>
      <c r="D104" t="s">
        <v>13</v>
      </c>
      <c r="E104">
        <v>50</v>
      </c>
      <c r="F104" t="s">
        <v>119</v>
      </c>
      <c r="G104" t="s">
        <v>120</v>
      </c>
      <c r="H104" t="s">
        <v>85</v>
      </c>
      <c r="I104">
        <v>30</v>
      </c>
      <c r="J104">
        <v>100</v>
      </c>
      <c r="K104">
        <v>3</v>
      </c>
      <c r="L104">
        <v>1</v>
      </c>
      <c r="M104" s="1">
        <v>0.73</v>
      </c>
    </row>
    <row r="105" spans="1:13" x14ac:dyDescent="0.3">
      <c r="A105" t="s">
        <v>283</v>
      </c>
      <c r="B105" t="s">
        <v>284</v>
      </c>
      <c r="C105" t="str">
        <f t="shared" si="1"/>
        <v>Kimberly Holland</v>
      </c>
      <c r="D105" t="s">
        <v>13</v>
      </c>
      <c r="E105">
        <v>21</v>
      </c>
      <c r="F105" t="s">
        <v>59</v>
      </c>
      <c r="G105" t="s">
        <v>60</v>
      </c>
      <c r="H105" t="s">
        <v>16</v>
      </c>
      <c r="I105">
        <v>2</v>
      </c>
      <c r="J105" s="2">
        <v>50</v>
      </c>
      <c r="K105">
        <v>4.9000000000000004</v>
      </c>
      <c r="L105" t="s">
        <v>64</v>
      </c>
      <c r="M105" s="1">
        <v>0.68</v>
      </c>
    </row>
    <row r="106" spans="1:13" x14ac:dyDescent="0.3">
      <c r="A106" t="s">
        <v>285</v>
      </c>
      <c r="B106" t="s">
        <v>286</v>
      </c>
      <c r="C106" t="str">
        <f t="shared" si="1"/>
        <v>Travis Richardson</v>
      </c>
      <c r="D106" t="s">
        <v>58</v>
      </c>
      <c r="E106">
        <v>25</v>
      </c>
      <c r="F106" t="s">
        <v>55</v>
      </c>
      <c r="G106" t="s">
        <v>21</v>
      </c>
      <c r="H106" t="s">
        <v>29</v>
      </c>
      <c r="I106">
        <v>3</v>
      </c>
      <c r="J106" s="2">
        <v>30</v>
      </c>
      <c r="L106" t="s">
        <v>154</v>
      </c>
      <c r="M106" s="1">
        <v>0.88</v>
      </c>
    </row>
    <row r="107" spans="1:13" x14ac:dyDescent="0.3">
      <c r="A107" t="s">
        <v>287</v>
      </c>
      <c r="B107" t="s">
        <v>288</v>
      </c>
      <c r="C107" t="str">
        <f t="shared" si="1"/>
        <v>Jasmin Ho</v>
      </c>
      <c r="D107" t="s">
        <v>19</v>
      </c>
      <c r="E107">
        <v>57</v>
      </c>
      <c r="F107" t="s">
        <v>130</v>
      </c>
      <c r="G107" t="s">
        <v>131</v>
      </c>
      <c r="H107" t="s">
        <v>85</v>
      </c>
      <c r="I107">
        <v>21</v>
      </c>
      <c r="J107" s="2">
        <v>40</v>
      </c>
      <c r="K107">
        <v>2.5</v>
      </c>
      <c r="L107">
        <v>0</v>
      </c>
      <c r="M107" s="1">
        <v>0.77</v>
      </c>
    </row>
    <row r="108" spans="1:13" x14ac:dyDescent="0.3">
      <c r="A108" t="s">
        <v>289</v>
      </c>
      <c r="B108" t="s">
        <v>290</v>
      </c>
      <c r="C108" t="str">
        <f t="shared" si="1"/>
        <v>Mark Paul</v>
      </c>
      <c r="D108" t="s">
        <v>45</v>
      </c>
      <c r="E108">
        <v>58</v>
      </c>
      <c r="F108" t="s">
        <v>119</v>
      </c>
      <c r="G108" t="s">
        <v>120</v>
      </c>
      <c r="H108" t="s">
        <v>16</v>
      </c>
      <c r="I108">
        <v>3</v>
      </c>
      <c r="K108">
        <v>0</v>
      </c>
      <c r="L108">
        <v>1</v>
      </c>
    </row>
    <row r="109" spans="1:13" x14ac:dyDescent="0.3">
      <c r="A109" t="s">
        <v>291</v>
      </c>
      <c r="B109" t="s">
        <v>292</v>
      </c>
      <c r="C109" t="str">
        <f t="shared" si="1"/>
        <v>Jennifer Lewis</v>
      </c>
      <c r="D109" t="s">
        <v>33</v>
      </c>
      <c r="E109">
        <v>45</v>
      </c>
      <c r="F109" t="s">
        <v>46</v>
      </c>
      <c r="G109" t="s">
        <v>47</v>
      </c>
      <c r="H109" t="s">
        <v>22</v>
      </c>
      <c r="I109">
        <v>19</v>
      </c>
      <c r="J109">
        <v>40</v>
      </c>
      <c r="L109">
        <v>1</v>
      </c>
      <c r="M109" s="1">
        <v>0.72</v>
      </c>
    </row>
    <row r="110" spans="1:13" x14ac:dyDescent="0.3">
      <c r="A110" t="s">
        <v>293</v>
      </c>
      <c r="B110" t="s">
        <v>294</v>
      </c>
      <c r="C110" t="str">
        <f t="shared" si="1"/>
        <v>Elizabeth Lester</v>
      </c>
      <c r="D110" t="s">
        <v>33</v>
      </c>
      <c r="E110">
        <v>23</v>
      </c>
      <c r="F110" t="s">
        <v>55</v>
      </c>
      <c r="G110" t="s">
        <v>21</v>
      </c>
      <c r="H110" t="s">
        <v>34</v>
      </c>
      <c r="I110">
        <v>0</v>
      </c>
      <c r="J110">
        <v>20</v>
      </c>
      <c r="K110">
        <v>4.7</v>
      </c>
      <c r="L110" t="s">
        <v>70</v>
      </c>
      <c r="M110" s="1">
        <v>0.6</v>
      </c>
    </row>
    <row r="111" spans="1:13" x14ac:dyDescent="0.3">
      <c r="A111" t="s">
        <v>295</v>
      </c>
      <c r="B111" t="s">
        <v>296</v>
      </c>
      <c r="C111" t="str">
        <f t="shared" si="1"/>
        <v>Kimberly Griffin</v>
      </c>
      <c r="D111" t="s">
        <v>19</v>
      </c>
      <c r="E111">
        <v>46</v>
      </c>
      <c r="F111" t="s">
        <v>55</v>
      </c>
      <c r="G111" t="s">
        <v>21</v>
      </c>
      <c r="H111" t="s">
        <v>42</v>
      </c>
      <c r="I111">
        <v>9</v>
      </c>
      <c r="J111" s="2">
        <v>30</v>
      </c>
      <c r="K111">
        <v>3.5</v>
      </c>
      <c r="M111">
        <v>72</v>
      </c>
    </row>
    <row r="112" spans="1:13" x14ac:dyDescent="0.3">
      <c r="A112" t="s">
        <v>297</v>
      </c>
      <c r="B112" t="s">
        <v>298</v>
      </c>
      <c r="C112" t="str">
        <f t="shared" si="1"/>
        <v>Tyler Warner</v>
      </c>
      <c r="D112" t="s">
        <v>58</v>
      </c>
      <c r="E112">
        <v>27</v>
      </c>
      <c r="F112" t="s">
        <v>67</v>
      </c>
      <c r="G112" t="s">
        <v>68</v>
      </c>
      <c r="H112" t="s">
        <v>69</v>
      </c>
      <c r="I112">
        <v>5</v>
      </c>
      <c r="J112">
        <v>30</v>
      </c>
      <c r="L112" t="s">
        <v>30</v>
      </c>
      <c r="M112" s="1">
        <v>0.92</v>
      </c>
    </row>
    <row r="113" spans="1:13" x14ac:dyDescent="0.3">
      <c r="A113" t="s">
        <v>299</v>
      </c>
      <c r="B113" t="s">
        <v>300</v>
      </c>
      <c r="C113" t="str">
        <f t="shared" ref="C113:C176" si="2">B113</f>
        <v>Jane Cox</v>
      </c>
      <c r="D113" t="s">
        <v>19</v>
      </c>
      <c r="E113">
        <v>32</v>
      </c>
      <c r="F113" t="s">
        <v>55</v>
      </c>
      <c r="G113" t="s">
        <v>21</v>
      </c>
      <c r="H113" t="s">
        <v>110</v>
      </c>
      <c r="I113">
        <v>6</v>
      </c>
      <c r="J113" t="s">
        <v>94</v>
      </c>
      <c r="K113">
        <v>3.4</v>
      </c>
      <c r="L113">
        <v>1</v>
      </c>
    </row>
    <row r="114" spans="1:13" x14ac:dyDescent="0.3">
      <c r="A114" t="s">
        <v>301</v>
      </c>
      <c r="B114" t="s">
        <v>302</v>
      </c>
      <c r="C114" t="str">
        <f t="shared" si="2"/>
        <v>Leah Williams</v>
      </c>
      <c r="D114" t="s">
        <v>13</v>
      </c>
      <c r="E114">
        <v>48</v>
      </c>
      <c r="F114" t="s">
        <v>67</v>
      </c>
      <c r="G114" t="s">
        <v>68</v>
      </c>
      <c r="H114" t="s">
        <v>110</v>
      </c>
      <c r="I114">
        <v>6</v>
      </c>
      <c r="J114" t="s">
        <v>49</v>
      </c>
      <c r="K114">
        <v>2.5</v>
      </c>
      <c r="M114" s="1">
        <v>0.92</v>
      </c>
    </row>
    <row r="115" spans="1:13" x14ac:dyDescent="0.3">
      <c r="A115" t="s">
        <v>303</v>
      </c>
      <c r="B115" t="s">
        <v>304</v>
      </c>
      <c r="C115" t="str">
        <f t="shared" si="2"/>
        <v>Kevin Wong</v>
      </c>
      <c r="D115" t="s">
        <v>26</v>
      </c>
      <c r="E115">
        <v>30</v>
      </c>
      <c r="F115" t="s">
        <v>59</v>
      </c>
      <c r="G115" t="s">
        <v>60</v>
      </c>
      <c r="H115" t="s">
        <v>22</v>
      </c>
      <c r="I115">
        <v>3</v>
      </c>
      <c r="J115" s="2">
        <v>30</v>
      </c>
      <c r="K115">
        <v>1.1000000000000001</v>
      </c>
      <c r="L115" t="b">
        <v>1</v>
      </c>
    </row>
    <row r="116" spans="1:13" x14ac:dyDescent="0.3">
      <c r="A116" t="s">
        <v>305</v>
      </c>
      <c r="B116" t="s">
        <v>306</v>
      </c>
      <c r="C116" t="str">
        <f t="shared" si="2"/>
        <v>Robert Andrews</v>
      </c>
      <c r="D116" t="s">
        <v>93</v>
      </c>
      <c r="E116">
        <v>59</v>
      </c>
      <c r="F116" t="s">
        <v>59</v>
      </c>
      <c r="G116" t="s">
        <v>60</v>
      </c>
      <c r="H116" t="s">
        <v>42</v>
      </c>
      <c r="I116">
        <v>13</v>
      </c>
      <c r="J116" t="s">
        <v>307</v>
      </c>
      <c r="K116">
        <v>4.8</v>
      </c>
    </row>
    <row r="117" spans="1:13" x14ac:dyDescent="0.3">
      <c r="A117" t="s">
        <v>308</v>
      </c>
      <c r="B117" t="s">
        <v>309</v>
      </c>
      <c r="C117" t="str">
        <f t="shared" si="2"/>
        <v>Jessica Torres</v>
      </c>
      <c r="D117" t="s">
        <v>37</v>
      </c>
      <c r="E117">
        <v>32</v>
      </c>
      <c r="F117" t="s">
        <v>173</v>
      </c>
      <c r="G117" t="s">
        <v>68</v>
      </c>
      <c r="H117" t="s">
        <v>42</v>
      </c>
      <c r="I117">
        <v>5</v>
      </c>
      <c r="J117" s="2">
        <v>30</v>
      </c>
      <c r="L117">
        <v>0</v>
      </c>
      <c r="M117" s="1">
        <v>0.86</v>
      </c>
    </row>
    <row r="118" spans="1:13" x14ac:dyDescent="0.3">
      <c r="A118" t="s">
        <v>310</v>
      </c>
      <c r="B118" t="s">
        <v>311</v>
      </c>
      <c r="C118" t="str">
        <f t="shared" si="2"/>
        <v>Teresa Kim</v>
      </c>
      <c r="D118" t="s">
        <v>73</v>
      </c>
      <c r="E118">
        <v>57</v>
      </c>
      <c r="F118" t="s">
        <v>134</v>
      </c>
      <c r="G118" t="s">
        <v>135</v>
      </c>
      <c r="H118" t="s">
        <v>69</v>
      </c>
      <c r="I118">
        <v>4</v>
      </c>
      <c r="J118" t="s">
        <v>52</v>
      </c>
      <c r="K118">
        <v>3.4</v>
      </c>
      <c r="L118">
        <v>1</v>
      </c>
      <c r="M118" s="1">
        <v>0.68</v>
      </c>
    </row>
    <row r="119" spans="1:13" x14ac:dyDescent="0.3">
      <c r="A119" t="s">
        <v>312</v>
      </c>
      <c r="B119" t="s">
        <v>313</v>
      </c>
      <c r="C119" t="str">
        <f t="shared" si="2"/>
        <v>Jon Morgan</v>
      </c>
      <c r="D119" t="s">
        <v>58</v>
      </c>
      <c r="E119">
        <v>27</v>
      </c>
      <c r="F119" t="s">
        <v>20</v>
      </c>
      <c r="G119" t="s">
        <v>21</v>
      </c>
      <c r="H119" t="s">
        <v>110</v>
      </c>
      <c r="I119">
        <v>7</v>
      </c>
      <c r="J119" t="s">
        <v>307</v>
      </c>
      <c r="K119">
        <v>3.2</v>
      </c>
      <c r="L119">
        <v>1</v>
      </c>
      <c r="M119" s="1">
        <v>0.62</v>
      </c>
    </row>
    <row r="120" spans="1:13" x14ac:dyDescent="0.3">
      <c r="A120" t="s">
        <v>314</v>
      </c>
      <c r="B120" t="s">
        <v>315</v>
      </c>
      <c r="C120" t="str">
        <f t="shared" si="2"/>
        <v>Gloria Chaney</v>
      </c>
      <c r="D120" t="s">
        <v>33</v>
      </c>
      <c r="E120">
        <v>33</v>
      </c>
      <c r="F120" t="s">
        <v>46</v>
      </c>
      <c r="G120" t="s">
        <v>47</v>
      </c>
      <c r="H120" t="s">
        <v>110</v>
      </c>
      <c r="I120">
        <v>13</v>
      </c>
      <c r="J120">
        <v>20</v>
      </c>
      <c r="K120">
        <v>3.2</v>
      </c>
      <c r="L120" t="b">
        <v>0</v>
      </c>
    </row>
    <row r="121" spans="1:13" x14ac:dyDescent="0.3">
      <c r="A121" t="s">
        <v>316</v>
      </c>
      <c r="B121" t="s">
        <v>317</v>
      </c>
      <c r="C121" t="str">
        <f t="shared" si="2"/>
        <v>Jesse Campbell</v>
      </c>
      <c r="D121" t="s">
        <v>26</v>
      </c>
      <c r="E121">
        <v>29</v>
      </c>
      <c r="F121" t="s">
        <v>108</v>
      </c>
      <c r="G121" t="s">
        <v>109</v>
      </c>
      <c r="H121" t="s">
        <v>48</v>
      </c>
      <c r="I121">
        <v>4</v>
      </c>
      <c r="J121">
        <v>30</v>
      </c>
      <c r="K121">
        <v>0</v>
      </c>
      <c r="L121" t="s">
        <v>70</v>
      </c>
      <c r="M121" s="1">
        <v>0.82</v>
      </c>
    </row>
    <row r="122" spans="1:13" x14ac:dyDescent="0.3">
      <c r="A122" t="s">
        <v>318</v>
      </c>
      <c r="B122" t="s">
        <v>319</v>
      </c>
      <c r="C122" t="str">
        <f t="shared" si="2"/>
        <v>Allison Tucker MD</v>
      </c>
      <c r="D122" t="s">
        <v>37</v>
      </c>
      <c r="E122">
        <v>36</v>
      </c>
      <c r="F122" t="s">
        <v>46</v>
      </c>
      <c r="G122" t="s">
        <v>47</v>
      </c>
      <c r="H122" t="s">
        <v>69</v>
      </c>
      <c r="I122">
        <v>13</v>
      </c>
      <c r="J122">
        <v>75</v>
      </c>
      <c r="L122">
        <v>1</v>
      </c>
    </row>
    <row r="123" spans="1:13" x14ac:dyDescent="0.3">
      <c r="A123" t="s">
        <v>320</v>
      </c>
      <c r="B123" t="s">
        <v>321</v>
      </c>
      <c r="C123" t="str">
        <f t="shared" si="2"/>
        <v>Candice Petersen</v>
      </c>
      <c r="D123" t="s">
        <v>73</v>
      </c>
      <c r="E123">
        <v>47</v>
      </c>
      <c r="F123" t="s">
        <v>14</v>
      </c>
      <c r="G123" t="s">
        <v>15</v>
      </c>
      <c r="H123" t="s">
        <v>85</v>
      </c>
      <c r="I123">
        <v>5</v>
      </c>
      <c r="J123" s="2">
        <v>40</v>
      </c>
      <c r="K123">
        <v>3.7</v>
      </c>
      <c r="L123" t="b">
        <v>0</v>
      </c>
      <c r="M123">
        <v>93</v>
      </c>
    </row>
    <row r="124" spans="1:13" x14ac:dyDescent="0.3">
      <c r="A124" t="s">
        <v>322</v>
      </c>
      <c r="B124" t="s">
        <v>323</v>
      </c>
      <c r="C124" t="str">
        <f t="shared" si="2"/>
        <v>Christopher Nichols</v>
      </c>
      <c r="D124" t="s">
        <v>58</v>
      </c>
      <c r="E124">
        <v>48</v>
      </c>
      <c r="F124" t="s">
        <v>123</v>
      </c>
      <c r="G124" t="s">
        <v>21</v>
      </c>
      <c r="H124" t="s">
        <v>110</v>
      </c>
      <c r="I124">
        <v>15</v>
      </c>
      <c r="J124" t="s">
        <v>94</v>
      </c>
      <c r="K124">
        <v>1</v>
      </c>
      <c r="L124" t="s">
        <v>70</v>
      </c>
      <c r="M124" s="1">
        <v>0.64</v>
      </c>
    </row>
    <row r="125" spans="1:13" x14ac:dyDescent="0.3">
      <c r="A125" t="s">
        <v>324</v>
      </c>
      <c r="B125" t="s">
        <v>325</v>
      </c>
      <c r="C125" t="str">
        <f t="shared" si="2"/>
        <v>Debra Garcia</v>
      </c>
      <c r="D125" t="s">
        <v>13</v>
      </c>
      <c r="E125">
        <v>27</v>
      </c>
      <c r="F125" t="s">
        <v>169</v>
      </c>
      <c r="G125" t="s">
        <v>170</v>
      </c>
      <c r="H125" t="s">
        <v>69</v>
      </c>
      <c r="I125">
        <v>8</v>
      </c>
      <c r="J125" s="2">
        <v>50</v>
      </c>
      <c r="K125">
        <v>0</v>
      </c>
    </row>
    <row r="126" spans="1:13" x14ac:dyDescent="0.3">
      <c r="A126" t="s">
        <v>326</v>
      </c>
      <c r="B126" t="s">
        <v>327</v>
      </c>
      <c r="C126" t="str">
        <f t="shared" si="2"/>
        <v>Andrew Fuentes</v>
      </c>
      <c r="D126" t="s">
        <v>26</v>
      </c>
      <c r="E126">
        <v>34</v>
      </c>
      <c r="F126" t="s">
        <v>20</v>
      </c>
      <c r="G126" t="s">
        <v>21</v>
      </c>
      <c r="H126" t="s">
        <v>34</v>
      </c>
      <c r="I126">
        <v>10</v>
      </c>
      <c r="K126">
        <v>1.7</v>
      </c>
      <c r="L126" t="s">
        <v>30</v>
      </c>
      <c r="M126" s="1">
        <v>0.96</v>
      </c>
    </row>
    <row r="127" spans="1:13" x14ac:dyDescent="0.3">
      <c r="A127" t="s">
        <v>328</v>
      </c>
      <c r="B127" t="s">
        <v>329</v>
      </c>
      <c r="C127" t="str">
        <f t="shared" si="2"/>
        <v>Jason Carter</v>
      </c>
      <c r="D127" t="s">
        <v>93</v>
      </c>
      <c r="E127">
        <v>49</v>
      </c>
      <c r="F127" t="s">
        <v>108</v>
      </c>
      <c r="G127" t="s">
        <v>109</v>
      </c>
      <c r="H127" t="s">
        <v>48</v>
      </c>
      <c r="I127">
        <v>19</v>
      </c>
      <c r="K127">
        <v>5</v>
      </c>
      <c r="L127" t="s">
        <v>70</v>
      </c>
      <c r="M127" s="1">
        <v>0.83</v>
      </c>
    </row>
    <row r="128" spans="1:13" x14ac:dyDescent="0.3">
      <c r="A128" t="s">
        <v>330</v>
      </c>
      <c r="B128" t="s">
        <v>331</v>
      </c>
      <c r="C128" t="str">
        <f t="shared" si="2"/>
        <v>Austin Romero</v>
      </c>
      <c r="D128" t="s">
        <v>26</v>
      </c>
      <c r="E128">
        <v>30</v>
      </c>
      <c r="F128" t="s">
        <v>103</v>
      </c>
      <c r="G128" t="s">
        <v>104</v>
      </c>
      <c r="H128" t="s">
        <v>22</v>
      </c>
      <c r="I128">
        <v>10</v>
      </c>
      <c r="J128" s="2">
        <v>100</v>
      </c>
      <c r="K128">
        <v>1.7</v>
      </c>
      <c r="L128" t="s">
        <v>64</v>
      </c>
      <c r="M128" s="1">
        <v>0.64</v>
      </c>
    </row>
    <row r="129" spans="1:13" x14ac:dyDescent="0.3">
      <c r="A129" t="s">
        <v>332</v>
      </c>
      <c r="B129" t="s">
        <v>333</v>
      </c>
      <c r="C129" t="str">
        <f t="shared" si="2"/>
        <v>Clayton Burns</v>
      </c>
      <c r="D129" t="s">
        <v>26</v>
      </c>
      <c r="E129">
        <v>31</v>
      </c>
      <c r="F129" t="s">
        <v>134</v>
      </c>
      <c r="G129" t="s">
        <v>135</v>
      </c>
      <c r="H129" t="s">
        <v>29</v>
      </c>
      <c r="I129">
        <v>8</v>
      </c>
      <c r="J129">
        <v>40</v>
      </c>
      <c r="K129">
        <v>4.4000000000000004</v>
      </c>
      <c r="L129">
        <v>0</v>
      </c>
      <c r="M129" s="1">
        <v>0.7</v>
      </c>
    </row>
    <row r="130" spans="1:13" x14ac:dyDescent="0.3">
      <c r="A130" t="s">
        <v>334</v>
      </c>
      <c r="B130" t="s">
        <v>335</v>
      </c>
      <c r="C130" t="str">
        <f t="shared" si="2"/>
        <v>Jonathan Clark</v>
      </c>
      <c r="D130" t="s">
        <v>45</v>
      </c>
      <c r="E130">
        <v>58</v>
      </c>
      <c r="F130" t="s">
        <v>169</v>
      </c>
      <c r="G130" t="s">
        <v>170</v>
      </c>
      <c r="H130" t="s">
        <v>110</v>
      </c>
      <c r="I130">
        <v>9</v>
      </c>
      <c r="J130">
        <v>20</v>
      </c>
      <c r="K130">
        <v>0</v>
      </c>
      <c r="L130" t="s">
        <v>30</v>
      </c>
      <c r="M130" s="1">
        <v>0.65</v>
      </c>
    </row>
    <row r="131" spans="1:13" x14ac:dyDescent="0.3">
      <c r="A131" t="s">
        <v>336</v>
      </c>
      <c r="B131" t="s">
        <v>337</v>
      </c>
      <c r="C131" t="str">
        <f t="shared" si="2"/>
        <v>Alexander Griffin</v>
      </c>
      <c r="D131" t="s">
        <v>93</v>
      </c>
      <c r="E131">
        <v>47</v>
      </c>
      <c r="F131" t="s">
        <v>130</v>
      </c>
      <c r="G131" t="s">
        <v>131</v>
      </c>
      <c r="H131" t="s">
        <v>110</v>
      </c>
      <c r="I131">
        <v>13</v>
      </c>
      <c r="J131">
        <v>40</v>
      </c>
      <c r="K131">
        <v>3.4</v>
      </c>
      <c r="M131" s="1">
        <v>0.67</v>
      </c>
    </row>
    <row r="132" spans="1:13" x14ac:dyDescent="0.3">
      <c r="A132" t="s">
        <v>338</v>
      </c>
      <c r="B132" t="s">
        <v>339</v>
      </c>
      <c r="C132" t="str">
        <f t="shared" si="2"/>
        <v>Shelly Whitehead</v>
      </c>
      <c r="D132" t="s">
        <v>13</v>
      </c>
      <c r="E132">
        <v>45</v>
      </c>
      <c r="F132" t="s">
        <v>63</v>
      </c>
      <c r="G132" t="s">
        <v>21</v>
      </c>
      <c r="H132" t="s">
        <v>74</v>
      </c>
      <c r="I132">
        <v>14</v>
      </c>
      <c r="J132" t="s">
        <v>23</v>
      </c>
      <c r="K132">
        <v>1.1000000000000001</v>
      </c>
      <c r="L132" t="s">
        <v>154</v>
      </c>
      <c r="M132">
        <v>93</v>
      </c>
    </row>
    <row r="133" spans="1:13" x14ac:dyDescent="0.3">
      <c r="A133" t="s">
        <v>340</v>
      </c>
      <c r="B133" t="s">
        <v>341</v>
      </c>
      <c r="C133" t="str">
        <f t="shared" si="2"/>
        <v>Kaitlyn Davis</v>
      </c>
      <c r="D133" t="s">
        <v>19</v>
      </c>
      <c r="E133">
        <v>57</v>
      </c>
      <c r="F133" t="s">
        <v>130</v>
      </c>
      <c r="G133" t="s">
        <v>131</v>
      </c>
      <c r="H133" t="s">
        <v>110</v>
      </c>
      <c r="I133">
        <v>0</v>
      </c>
      <c r="J133">
        <v>50</v>
      </c>
      <c r="K133">
        <v>1.6</v>
      </c>
      <c r="L133" t="s">
        <v>30</v>
      </c>
      <c r="M133" s="1">
        <v>0.6</v>
      </c>
    </row>
    <row r="134" spans="1:13" x14ac:dyDescent="0.3">
      <c r="A134" t="s">
        <v>342</v>
      </c>
      <c r="B134" t="s">
        <v>343</v>
      </c>
      <c r="C134" t="str">
        <f t="shared" si="2"/>
        <v>Christopher Jones</v>
      </c>
      <c r="D134" t="s">
        <v>58</v>
      </c>
      <c r="E134">
        <v>50</v>
      </c>
      <c r="F134" t="s">
        <v>89</v>
      </c>
      <c r="G134" t="s">
        <v>90</v>
      </c>
      <c r="H134" t="s">
        <v>34</v>
      </c>
      <c r="I134">
        <v>22</v>
      </c>
      <c r="J134">
        <v>100</v>
      </c>
      <c r="K134">
        <v>4.0999999999999996</v>
      </c>
      <c r="L134" t="s">
        <v>30</v>
      </c>
      <c r="M134" s="1">
        <v>0.62</v>
      </c>
    </row>
    <row r="135" spans="1:13" x14ac:dyDescent="0.3">
      <c r="A135" t="s">
        <v>344</v>
      </c>
      <c r="B135" t="s">
        <v>345</v>
      </c>
      <c r="C135" t="str">
        <f t="shared" si="2"/>
        <v>Cindy Jacobs</v>
      </c>
      <c r="D135" t="s">
        <v>19</v>
      </c>
      <c r="F135" t="s">
        <v>103</v>
      </c>
      <c r="G135" t="s">
        <v>104</v>
      </c>
      <c r="H135" t="s">
        <v>110</v>
      </c>
      <c r="I135">
        <v>4</v>
      </c>
      <c r="K135">
        <v>2.5</v>
      </c>
      <c r="M135" s="1">
        <v>0.7</v>
      </c>
    </row>
    <row r="136" spans="1:13" x14ac:dyDescent="0.3">
      <c r="A136" t="s">
        <v>346</v>
      </c>
      <c r="B136" t="s">
        <v>347</v>
      </c>
      <c r="C136" t="str">
        <f t="shared" si="2"/>
        <v>Penny Day</v>
      </c>
      <c r="D136" t="s">
        <v>73</v>
      </c>
      <c r="E136">
        <v>45</v>
      </c>
      <c r="F136" t="s">
        <v>46</v>
      </c>
      <c r="G136" t="s">
        <v>47</v>
      </c>
      <c r="H136" t="s">
        <v>16</v>
      </c>
      <c r="I136">
        <v>22</v>
      </c>
      <c r="J136" s="2">
        <v>100</v>
      </c>
      <c r="K136">
        <v>4</v>
      </c>
      <c r="L136" t="s">
        <v>70</v>
      </c>
      <c r="M136" s="1">
        <v>0.75</v>
      </c>
    </row>
    <row r="137" spans="1:13" x14ac:dyDescent="0.3">
      <c r="A137" t="s">
        <v>348</v>
      </c>
      <c r="B137" t="s">
        <v>349</v>
      </c>
      <c r="C137" t="str">
        <f t="shared" si="2"/>
        <v>Thomas Ingram</v>
      </c>
      <c r="D137" t="s">
        <v>58</v>
      </c>
      <c r="E137">
        <v>60</v>
      </c>
      <c r="F137" t="s">
        <v>148</v>
      </c>
      <c r="G137" t="s">
        <v>149</v>
      </c>
      <c r="H137" t="s">
        <v>74</v>
      </c>
      <c r="I137">
        <v>39</v>
      </c>
      <c r="J137">
        <v>75</v>
      </c>
      <c r="K137">
        <v>1.4</v>
      </c>
      <c r="L137" t="s">
        <v>154</v>
      </c>
      <c r="M137" s="1">
        <v>0.7</v>
      </c>
    </row>
    <row r="138" spans="1:13" x14ac:dyDescent="0.3">
      <c r="A138" t="s">
        <v>350</v>
      </c>
      <c r="B138" t="s">
        <v>351</v>
      </c>
      <c r="C138" t="str">
        <f t="shared" si="2"/>
        <v>Donna Hansen</v>
      </c>
      <c r="D138" t="s">
        <v>37</v>
      </c>
      <c r="E138">
        <v>43</v>
      </c>
      <c r="F138" t="s">
        <v>63</v>
      </c>
      <c r="G138" t="s">
        <v>21</v>
      </c>
      <c r="H138" t="s">
        <v>74</v>
      </c>
      <c r="I138">
        <v>5</v>
      </c>
      <c r="J138" t="s">
        <v>94</v>
      </c>
      <c r="L138">
        <v>1</v>
      </c>
      <c r="M138" s="1">
        <v>0.84</v>
      </c>
    </row>
    <row r="139" spans="1:13" x14ac:dyDescent="0.3">
      <c r="A139" t="s">
        <v>352</v>
      </c>
      <c r="B139" t="s">
        <v>353</v>
      </c>
      <c r="C139" t="str">
        <f t="shared" si="2"/>
        <v>Donna Bailey</v>
      </c>
      <c r="D139" t="s">
        <v>33</v>
      </c>
      <c r="E139">
        <v>39</v>
      </c>
      <c r="F139" t="s">
        <v>130</v>
      </c>
      <c r="G139" t="s">
        <v>131</v>
      </c>
      <c r="H139" t="s">
        <v>74</v>
      </c>
      <c r="I139">
        <v>5</v>
      </c>
      <c r="J139" t="s">
        <v>52</v>
      </c>
      <c r="K139">
        <v>1.2</v>
      </c>
      <c r="L139">
        <v>0</v>
      </c>
      <c r="M139">
        <v>83</v>
      </c>
    </row>
    <row r="140" spans="1:13" x14ac:dyDescent="0.3">
      <c r="A140" t="s">
        <v>354</v>
      </c>
      <c r="B140" t="s">
        <v>355</v>
      </c>
      <c r="C140" t="str">
        <f t="shared" si="2"/>
        <v>Joshua Armstrong</v>
      </c>
      <c r="D140" t="s">
        <v>26</v>
      </c>
      <c r="E140">
        <v>26</v>
      </c>
      <c r="F140" t="s">
        <v>173</v>
      </c>
      <c r="G140" t="s">
        <v>68</v>
      </c>
      <c r="H140" t="s">
        <v>69</v>
      </c>
      <c r="I140">
        <v>5</v>
      </c>
      <c r="J140">
        <v>50</v>
      </c>
      <c r="K140">
        <v>0</v>
      </c>
      <c r="L140" t="s">
        <v>30</v>
      </c>
    </row>
    <row r="141" spans="1:13" x14ac:dyDescent="0.3">
      <c r="A141" t="s">
        <v>356</v>
      </c>
      <c r="B141" t="s">
        <v>357</v>
      </c>
      <c r="C141" t="str">
        <f t="shared" si="2"/>
        <v>Jonathan Garza</v>
      </c>
      <c r="D141" t="s">
        <v>45</v>
      </c>
      <c r="E141">
        <v>31</v>
      </c>
      <c r="F141" t="s">
        <v>27</v>
      </c>
      <c r="G141" t="s">
        <v>28</v>
      </c>
      <c r="H141" t="s">
        <v>74</v>
      </c>
      <c r="I141">
        <v>11</v>
      </c>
      <c r="J141">
        <v>50</v>
      </c>
      <c r="K141">
        <v>3.1</v>
      </c>
      <c r="L141" t="b">
        <v>0</v>
      </c>
      <c r="M141" s="1">
        <v>0.88</v>
      </c>
    </row>
    <row r="142" spans="1:13" x14ac:dyDescent="0.3">
      <c r="A142" t="s">
        <v>358</v>
      </c>
      <c r="B142" t="s">
        <v>359</v>
      </c>
      <c r="C142" t="str">
        <f t="shared" si="2"/>
        <v>Charles Jones</v>
      </c>
      <c r="D142" t="s">
        <v>45</v>
      </c>
      <c r="E142">
        <v>52</v>
      </c>
      <c r="F142" t="s">
        <v>130</v>
      </c>
      <c r="G142" t="s">
        <v>131</v>
      </c>
      <c r="H142" t="s">
        <v>69</v>
      </c>
      <c r="I142">
        <v>15</v>
      </c>
      <c r="J142">
        <v>50</v>
      </c>
      <c r="K142">
        <v>0</v>
      </c>
      <c r="L142" t="s">
        <v>64</v>
      </c>
      <c r="M142" s="1">
        <v>0.81</v>
      </c>
    </row>
    <row r="143" spans="1:13" x14ac:dyDescent="0.3">
      <c r="A143" t="s">
        <v>360</v>
      </c>
      <c r="B143" t="s">
        <v>361</v>
      </c>
      <c r="C143" t="str">
        <f t="shared" si="2"/>
        <v>Lindsey Miles</v>
      </c>
      <c r="D143" t="s">
        <v>37</v>
      </c>
      <c r="E143">
        <v>34</v>
      </c>
      <c r="F143" t="s">
        <v>89</v>
      </c>
      <c r="G143" t="s">
        <v>90</v>
      </c>
      <c r="H143" t="s">
        <v>48</v>
      </c>
      <c r="I143">
        <v>5</v>
      </c>
      <c r="J143" t="s">
        <v>307</v>
      </c>
      <c r="K143">
        <v>2.2000000000000002</v>
      </c>
      <c r="L143" t="s">
        <v>70</v>
      </c>
      <c r="M143" s="1">
        <v>0.8</v>
      </c>
    </row>
    <row r="144" spans="1:13" x14ac:dyDescent="0.3">
      <c r="A144" t="s">
        <v>362</v>
      </c>
      <c r="B144" t="s">
        <v>363</v>
      </c>
      <c r="C144" t="str">
        <f t="shared" si="2"/>
        <v>Eduardo Reed</v>
      </c>
      <c r="D144" t="s">
        <v>26</v>
      </c>
      <c r="E144">
        <v>45</v>
      </c>
      <c r="F144" t="s">
        <v>63</v>
      </c>
      <c r="G144" t="s">
        <v>21</v>
      </c>
      <c r="H144" t="s">
        <v>34</v>
      </c>
      <c r="I144">
        <v>7</v>
      </c>
      <c r="J144">
        <v>75</v>
      </c>
      <c r="K144">
        <v>3</v>
      </c>
      <c r="L144">
        <v>1</v>
      </c>
      <c r="M144" s="1">
        <v>0.67</v>
      </c>
    </row>
    <row r="145" spans="1:13" x14ac:dyDescent="0.3">
      <c r="A145" t="s">
        <v>364</v>
      </c>
      <c r="B145" t="s">
        <v>365</v>
      </c>
      <c r="C145" t="str">
        <f t="shared" si="2"/>
        <v>Lee Fowler</v>
      </c>
      <c r="D145" t="s">
        <v>45</v>
      </c>
      <c r="E145">
        <v>46</v>
      </c>
      <c r="F145" t="s">
        <v>63</v>
      </c>
      <c r="G145" t="s">
        <v>21</v>
      </c>
      <c r="H145" t="s">
        <v>74</v>
      </c>
      <c r="I145">
        <v>9</v>
      </c>
      <c r="J145" s="2">
        <v>20</v>
      </c>
      <c r="K145">
        <v>0</v>
      </c>
      <c r="L145" t="s">
        <v>30</v>
      </c>
      <c r="M145" s="1">
        <v>0.82</v>
      </c>
    </row>
    <row r="146" spans="1:13" x14ac:dyDescent="0.3">
      <c r="A146" t="s">
        <v>366</v>
      </c>
      <c r="B146" t="s">
        <v>367</v>
      </c>
      <c r="C146" t="str">
        <f t="shared" si="2"/>
        <v>Steven Jones Jr.</v>
      </c>
      <c r="D146" t="s">
        <v>45</v>
      </c>
      <c r="E146">
        <v>56</v>
      </c>
      <c r="F146" t="s">
        <v>130</v>
      </c>
      <c r="G146" t="s">
        <v>131</v>
      </c>
      <c r="H146" t="s">
        <v>69</v>
      </c>
      <c r="I146">
        <v>21</v>
      </c>
      <c r="J146" t="s">
        <v>23</v>
      </c>
      <c r="K146">
        <v>0</v>
      </c>
      <c r="L146" t="b">
        <v>1</v>
      </c>
      <c r="M146">
        <v>78</v>
      </c>
    </row>
    <row r="147" spans="1:13" x14ac:dyDescent="0.3">
      <c r="A147" t="s">
        <v>368</v>
      </c>
      <c r="B147" t="s">
        <v>369</v>
      </c>
      <c r="C147" t="str">
        <f t="shared" si="2"/>
        <v>Ashley Chen</v>
      </c>
      <c r="D147" t="s">
        <v>19</v>
      </c>
      <c r="E147">
        <v>59</v>
      </c>
      <c r="F147" t="s">
        <v>27</v>
      </c>
      <c r="G147" t="s">
        <v>28</v>
      </c>
      <c r="H147" t="s">
        <v>42</v>
      </c>
      <c r="I147">
        <v>7</v>
      </c>
      <c r="J147" s="2">
        <v>40</v>
      </c>
      <c r="K147">
        <v>1.4</v>
      </c>
      <c r="L147" t="b">
        <v>0</v>
      </c>
      <c r="M147" s="1">
        <v>0.81</v>
      </c>
    </row>
    <row r="148" spans="1:13" x14ac:dyDescent="0.3">
      <c r="A148" t="s">
        <v>370</v>
      </c>
      <c r="B148" t="s">
        <v>371</v>
      </c>
      <c r="C148" t="str">
        <f t="shared" si="2"/>
        <v>Erica Davis</v>
      </c>
      <c r="D148" t="s">
        <v>19</v>
      </c>
      <c r="E148">
        <v>54</v>
      </c>
      <c r="F148" t="s">
        <v>134</v>
      </c>
      <c r="G148" t="s">
        <v>135</v>
      </c>
      <c r="H148" t="s">
        <v>16</v>
      </c>
      <c r="I148">
        <v>4</v>
      </c>
      <c r="K148">
        <v>1.4</v>
      </c>
      <c r="L148" t="b">
        <v>1</v>
      </c>
      <c r="M148" s="1">
        <v>0.74</v>
      </c>
    </row>
    <row r="149" spans="1:13" x14ac:dyDescent="0.3">
      <c r="A149" t="s">
        <v>372</v>
      </c>
      <c r="B149" t="s">
        <v>373</v>
      </c>
      <c r="C149" t="str">
        <f t="shared" si="2"/>
        <v>Wayne Gonzales</v>
      </c>
      <c r="D149" t="s">
        <v>88</v>
      </c>
      <c r="E149">
        <v>36</v>
      </c>
      <c r="F149" t="s">
        <v>27</v>
      </c>
      <c r="G149" t="s">
        <v>28</v>
      </c>
      <c r="H149" t="s">
        <v>69</v>
      </c>
      <c r="I149">
        <v>7</v>
      </c>
      <c r="J149">
        <v>30</v>
      </c>
      <c r="K149">
        <v>0</v>
      </c>
      <c r="L149" t="s">
        <v>30</v>
      </c>
      <c r="M149" s="1">
        <v>0.88</v>
      </c>
    </row>
    <row r="150" spans="1:13" x14ac:dyDescent="0.3">
      <c r="A150" t="s">
        <v>374</v>
      </c>
      <c r="B150" t="s">
        <v>375</v>
      </c>
      <c r="C150" t="str">
        <f t="shared" si="2"/>
        <v>Gary Ballard</v>
      </c>
      <c r="D150" t="s">
        <v>26</v>
      </c>
      <c r="E150">
        <v>25</v>
      </c>
      <c r="F150" t="s">
        <v>173</v>
      </c>
      <c r="G150" t="s">
        <v>68</v>
      </c>
      <c r="H150" t="s">
        <v>48</v>
      </c>
      <c r="I150">
        <v>0</v>
      </c>
      <c r="J150">
        <v>40</v>
      </c>
      <c r="K150">
        <v>0</v>
      </c>
      <c r="L150">
        <v>0</v>
      </c>
      <c r="M150" s="1">
        <v>0.9</v>
      </c>
    </row>
    <row r="151" spans="1:13" x14ac:dyDescent="0.3">
      <c r="A151" t="s">
        <v>376</v>
      </c>
      <c r="B151" t="s">
        <v>377</v>
      </c>
      <c r="C151" t="str">
        <f t="shared" si="2"/>
        <v>Maria Mcguire</v>
      </c>
      <c r="D151" t="s">
        <v>19</v>
      </c>
      <c r="E151">
        <v>37</v>
      </c>
      <c r="F151" t="s">
        <v>119</v>
      </c>
      <c r="G151" t="s">
        <v>120</v>
      </c>
      <c r="H151" t="s">
        <v>48</v>
      </c>
      <c r="I151">
        <v>15</v>
      </c>
      <c r="J151" s="2">
        <v>40</v>
      </c>
      <c r="K151">
        <v>2.9</v>
      </c>
      <c r="L151" t="b">
        <v>0</v>
      </c>
    </row>
    <row r="152" spans="1:13" x14ac:dyDescent="0.3">
      <c r="A152" t="s">
        <v>378</v>
      </c>
      <c r="B152" t="s">
        <v>379</v>
      </c>
      <c r="C152" t="str">
        <f t="shared" si="2"/>
        <v>Matthew Richards</v>
      </c>
      <c r="D152" t="s">
        <v>88</v>
      </c>
      <c r="F152" t="s">
        <v>59</v>
      </c>
      <c r="G152" t="s">
        <v>60</v>
      </c>
      <c r="H152" t="s">
        <v>48</v>
      </c>
      <c r="I152">
        <v>10</v>
      </c>
      <c r="J152" t="s">
        <v>52</v>
      </c>
      <c r="K152">
        <v>0</v>
      </c>
    </row>
    <row r="153" spans="1:13" x14ac:dyDescent="0.3">
      <c r="A153" t="s">
        <v>380</v>
      </c>
      <c r="B153" t="s">
        <v>381</v>
      </c>
      <c r="C153" t="str">
        <f t="shared" si="2"/>
        <v>Patrick Malone</v>
      </c>
      <c r="D153" t="s">
        <v>45</v>
      </c>
      <c r="E153">
        <v>29</v>
      </c>
      <c r="F153" t="s">
        <v>184</v>
      </c>
      <c r="G153" t="s">
        <v>68</v>
      </c>
      <c r="H153" t="s">
        <v>48</v>
      </c>
      <c r="I153">
        <v>11</v>
      </c>
      <c r="J153">
        <v>20</v>
      </c>
      <c r="K153">
        <v>2.7</v>
      </c>
      <c r="L153" t="s">
        <v>154</v>
      </c>
      <c r="M153" s="1">
        <v>0.93</v>
      </c>
    </row>
    <row r="154" spans="1:13" x14ac:dyDescent="0.3">
      <c r="A154" t="s">
        <v>382</v>
      </c>
      <c r="B154" t="s">
        <v>383</v>
      </c>
      <c r="C154" t="str">
        <f t="shared" si="2"/>
        <v>Cindy Martin</v>
      </c>
      <c r="D154" t="s">
        <v>37</v>
      </c>
      <c r="E154">
        <v>55</v>
      </c>
      <c r="F154" t="s">
        <v>67</v>
      </c>
      <c r="G154" t="s">
        <v>68</v>
      </c>
      <c r="H154" t="s">
        <v>22</v>
      </c>
      <c r="I154">
        <v>12</v>
      </c>
      <c r="J154">
        <v>100</v>
      </c>
      <c r="K154">
        <v>1.8</v>
      </c>
      <c r="L154">
        <v>1</v>
      </c>
    </row>
    <row r="155" spans="1:13" x14ac:dyDescent="0.3">
      <c r="A155" t="s">
        <v>384</v>
      </c>
      <c r="B155" t="s">
        <v>385</v>
      </c>
      <c r="C155" t="str">
        <f t="shared" si="2"/>
        <v>Anne Edwards</v>
      </c>
      <c r="D155" t="s">
        <v>73</v>
      </c>
      <c r="E155">
        <v>38</v>
      </c>
      <c r="F155" t="s">
        <v>81</v>
      </c>
      <c r="G155" t="s">
        <v>82</v>
      </c>
      <c r="H155" t="s">
        <v>85</v>
      </c>
      <c r="I155">
        <v>20</v>
      </c>
      <c r="J155" s="2">
        <v>75</v>
      </c>
      <c r="K155">
        <v>1.1000000000000001</v>
      </c>
      <c r="L155" t="s">
        <v>154</v>
      </c>
      <c r="M155" s="1">
        <v>0.71</v>
      </c>
    </row>
    <row r="156" spans="1:13" x14ac:dyDescent="0.3">
      <c r="A156" t="s">
        <v>386</v>
      </c>
      <c r="B156" t="s">
        <v>387</v>
      </c>
      <c r="C156" t="str">
        <f t="shared" si="2"/>
        <v>Mitchell Martin</v>
      </c>
      <c r="D156" t="s">
        <v>93</v>
      </c>
      <c r="E156">
        <v>47</v>
      </c>
      <c r="F156" t="s">
        <v>108</v>
      </c>
      <c r="G156" t="s">
        <v>109</v>
      </c>
      <c r="H156" t="s">
        <v>85</v>
      </c>
      <c r="I156">
        <v>29</v>
      </c>
      <c r="J156" s="2">
        <v>40</v>
      </c>
      <c r="K156">
        <v>4.3</v>
      </c>
      <c r="L156">
        <v>1</v>
      </c>
      <c r="M156" s="1">
        <v>0.95</v>
      </c>
    </row>
    <row r="157" spans="1:13" x14ac:dyDescent="0.3">
      <c r="A157" t="s">
        <v>388</v>
      </c>
      <c r="B157" t="s">
        <v>389</v>
      </c>
      <c r="C157" t="str">
        <f t="shared" si="2"/>
        <v>Mitchell Patrick</v>
      </c>
      <c r="D157" t="s">
        <v>88</v>
      </c>
      <c r="E157">
        <v>60</v>
      </c>
      <c r="F157" t="s">
        <v>103</v>
      </c>
      <c r="G157" t="s">
        <v>104</v>
      </c>
      <c r="H157" t="s">
        <v>34</v>
      </c>
      <c r="I157">
        <v>15</v>
      </c>
      <c r="J157">
        <v>100</v>
      </c>
      <c r="K157">
        <v>1.5</v>
      </c>
      <c r="L157">
        <v>0</v>
      </c>
      <c r="M157">
        <v>80</v>
      </c>
    </row>
    <row r="158" spans="1:13" x14ac:dyDescent="0.3">
      <c r="A158" t="s">
        <v>390</v>
      </c>
      <c r="B158" t="s">
        <v>391</v>
      </c>
      <c r="C158" t="str">
        <f t="shared" si="2"/>
        <v>Rebecca Lyons</v>
      </c>
      <c r="D158" t="s">
        <v>19</v>
      </c>
      <c r="E158">
        <v>43</v>
      </c>
      <c r="F158" t="s">
        <v>14</v>
      </c>
      <c r="G158" t="s">
        <v>15</v>
      </c>
      <c r="H158" t="s">
        <v>48</v>
      </c>
      <c r="I158">
        <v>9</v>
      </c>
      <c r="J158" s="2">
        <v>20</v>
      </c>
      <c r="K158">
        <v>2.2000000000000002</v>
      </c>
      <c r="L158" t="s">
        <v>30</v>
      </c>
    </row>
    <row r="159" spans="1:13" x14ac:dyDescent="0.3">
      <c r="A159" t="s">
        <v>392</v>
      </c>
      <c r="B159" t="s">
        <v>393</v>
      </c>
      <c r="C159" t="str">
        <f t="shared" si="2"/>
        <v>Christian Lopez</v>
      </c>
      <c r="D159" t="s">
        <v>93</v>
      </c>
      <c r="E159">
        <v>56</v>
      </c>
      <c r="F159" t="s">
        <v>148</v>
      </c>
      <c r="G159" t="s">
        <v>149</v>
      </c>
      <c r="H159" t="s">
        <v>48</v>
      </c>
      <c r="J159">
        <v>100</v>
      </c>
      <c r="K159">
        <v>3.2</v>
      </c>
      <c r="L159">
        <v>0</v>
      </c>
      <c r="M159" s="1">
        <v>0.62</v>
      </c>
    </row>
    <row r="160" spans="1:13" x14ac:dyDescent="0.3">
      <c r="A160" t="s">
        <v>394</v>
      </c>
      <c r="B160" t="s">
        <v>395</v>
      </c>
      <c r="C160" t="str">
        <f t="shared" si="2"/>
        <v>Nathan Blair</v>
      </c>
      <c r="D160" t="s">
        <v>26</v>
      </c>
      <c r="E160">
        <v>42</v>
      </c>
      <c r="F160" t="s">
        <v>119</v>
      </c>
      <c r="G160" t="s">
        <v>120</v>
      </c>
      <c r="H160" t="s">
        <v>85</v>
      </c>
      <c r="I160">
        <v>2</v>
      </c>
      <c r="J160" s="2">
        <v>50</v>
      </c>
      <c r="K160">
        <v>1.9</v>
      </c>
      <c r="L160" t="b">
        <v>0</v>
      </c>
      <c r="M160" s="1">
        <v>0.95</v>
      </c>
    </row>
    <row r="161" spans="1:13" x14ac:dyDescent="0.3">
      <c r="A161" t="s">
        <v>396</v>
      </c>
      <c r="B161" t="s">
        <v>397</v>
      </c>
      <c r="C161" t="str">
        <f t="shared" si="2"/>
        <v>Patricia Lopez</v>
      </c>
      <c r="D161" t="s">
        <v>73</v>
      </c>
      <c r="E161">
        <v>20</v>
      </c>
      <c r="F161" t="s">
        <v>184</v>
      </c>
      <c r="G161" t="s">
        <v>68</v>
      </c>
      <c r="H161" t="s">
        <v>29</v>
      </c>
      <c r="I161">
        <v>0</v>
      </c>
      <c r="J161">
        <v>40</v>
      </c>
      <c r="K161">
        <v>2.5</v>
      </c>
      <c r="L161">
        <v>0</v>
      </c>
      <c r="M161" s="1">
        <v>0.79</v>
      </c>
    </row>
    <row r="162" spans="1:13" x14ac:dyDescent="0.3">
      <c r="A162" t="s">
        <v>398</v>
      </c>
      <c r="B162" t="s">
        <v>399</v>
      </c>
      <c r="C162" t="str">
        <f t="shared" si="2"/>
        <v>Michelle Wu</v>
      </c>
      <c r="D162" t="s">
        <v>37</v>
      </c>
      <c r="E162">
        <v>47</v>
      </c>
      <c r="F162" t="s">
        <v>46</v>
      </c>
      <c r="G162" t="s">
        <v>47</v>
      </c>
      <c r="H162" t="s">
        <v>69</v>
      </c>
      <c r="I162">
        <v>12</v>
      </c>
      <c r="J162">
        <v>40</v>
      </c>
      <c r="K162">
        <v>4.5</v>
      </c>
      <c r="L162" t="s">
        <v>154</v>
      </c>
      <c r="M162" s="1">
        <v>0.62</v>
      </c>
    </row>
    <row r="163" spans="1:13" x14ac:dyDescent="0.3">
      <c r="A163" t="s">
        <v>400</v>
      </c>
      <c r="B163" t="s">
        <v>401</v>
      </c>
      <c r="C163" t="str">
        <f t="shared" si="2"/>
        <v>Donald Mitchell</v>
      </c>
      <c r="D163" t="s">
        <v>45</v>
      </c>
      <c r="F163" t="s">
        <v>67</v>
      </c>
      <c r="G163" t="s">
        <v>68</v>
      </c>
      <c r="H163" t="s">
        <v>48</v>
      </c>
      <c r="I163">
        <v>12</v>
      </c>
      <c r="J163" s="2">
        <v>30</v>
      </c>
      <c r="K163">
        <v>4.0999999999999996</v>
      </c>
      <c r="L163" t="s">
        <v>154</v>
      </c>
      <c r="M163" s="1">
        <v>0.68</v>
      </c>
    </row>
    <row r="164" spans="1:13" x14ac:dyDescent="0.3">
      <c r="A164" t="s">
        <v>402</v>
      </c>
      <c r="B164" t="s">
        <v>403</v>
      </c>
      <c r="C164" t="str">
        <f t="shared" si="2"/>
        <v>Sean Gordon</v>
      </c>
      <c r="D164" t="s">
        <v>88</v>
      </c>
      <c r="E164">
        <v>56</v>
      </c>
      <c r="F164" t="s">
        <v>46</v>
      </c>
      <c r="G164" t="s">
        <v>47</v>
      </c>
      <c r="H164" t="s">
        <v>85</v>
      </c>
      <c r="I164">
        <v>15</v>
      </c>
      <c r="J164" t="s">
        <v>49</v>
      </c>
      <c r="K164">
        <v>0</v>
      </c>
      <c r="L164" t="s">
        <v>154</v>
      </c>
    </row>
    <row r="165" spans="1:13" x14ac:dyDescent="0.3">
      <c r="A165" t="s">
        <v>404</v>
      </c>
      <c r="B165" t="s">
        <v>405</v>
      </c>
      <c r="C165" t="str">
        <f t="shared" si="2"/>
        <v>Gregory Clarke</v>
      </c>
      <c r="D165" t="s">
        <v>93</v>
      </c>
      <c r="E165">
        <v>59</v>
      </c>
      <c r="F165" t="s">
        <v>63</v>
      </c>
      <c r="G165" t="s">
        <v>21</v>
      </c>
      <c r="H165" t="s">
        <v>85</v>
      </c>
      <c r="I165">
        <v>29</v>
      </c>
      <c r="J165" t="s">
        <v>49</v>
      </c>
      <c r="L165">
        <v>0</v>
      </c>
      <c r="M165" s="1">
        <v>0.8</v>
      </c>
    </row>
    <row r="166" spans="1:13" x14ac:dyDescent="0.3">
      <c r="A166" t="s">
        <v>406</v>
      </c>
      <c r="B166" t="s">
        <v>407</v>
      </c>
      <c r="C166" t="str">
        <f t="shared" si="2"/>
        <v>Steven Whitney</v>
      </c>
      <c r="D166" t="s">
        <v>58</v>
      </c>
      <c r="E166">
        <v>56</v>
      </c>
      <c r="F166" t="s">
        <v>81</v>
      </c>
      <c r="G166" t="s">
        <v>82</v>
      </c>
      <c r="H166" t="s">
        <v>74</v>
      </c>
      <c r="I166">
        <v>15</v>
      </c>
      <c r="J166">
        <v>40</v>
      </c>
      <c r="K166">
        <v>3.7</v>
      </c>
      <c r="M166" s="1">
        <v>0.92</v>
      </c>
    </row>
    <row r="167" spans="1:13" x14ac:dyDescent="0.3">
      <c r="A167" t="s">
        <v>408</v>
      </c>
      <c r="B167" t="s">
        <v>409</v>
      </c>
      <c r="C167" t="str">
        <f t="shared" si="2"/>
        <v>Robin Acosta</v>
      </c>
      <c r="D167" t="s">
        <v>37</v>
      </c>
      <c r="E167">
        <v>31</v>
      </c>
      <c r="F167" t="s">
        <v>148</v>
      </c>
      <c r="G167" t="s">
        <v>149</v>
      </c>
      <c r="H167" t="s">
        <v>34</v>
      </c>
      <c r="J167" t="s">
        <v>49</v>
      </c>
      <c r="K167">
        <v>1.3</v>
      </c>
      <c r="L167">
        <v>1</v>
      </c>
      <c r="M167" s="1">
        <v>0.65</v>
      </c>
    </row>
    <row r="168" spans="1:13" x14ac:dyDescent="0.3">
      <c r="A168" t="s">
        <v>410</v>
      </c>
      <c r="B168" t="s">
        <v>411</v>
      </c>
      <c r="C168" t="str">
        <f t="shared" si="2"/>
        <v>John Smith</v>
      </c>
      <c r="D168" t="s">
        <v>45</v>
      </c>
      <c r="E168">
        <v>60</v>
      </c>
      <c r="F168" t="s">
        <v>108</v>
      </c>
      <c r="G168" t="s">
        <v>109</v>
      </c>
      <c r="H168" t="s">
        <v>22</v>
      </c>
      <c r="I168">
        <v>33</v>
      </c>
      <c r="J168">
        <v>40</v>
      </c>
      <c r="K168">
        <v>3.6</v>
      </c>
      <c r="L168">
        <v>1</v>
      </c>
      <c r="M168" s="1">
        <v>0.87</v>
      </c>
    </row>
    <row r="169" spans="1:13" x14ac:dyDescent="0.3">
      <c r="A169" t="s">
        <v>412</v>
      </c>
      <c r="B169" t="s">
        <v>413</v>
      </c>
      <c r="C169" t="str">
        <f t="shared" si="2"/>
        <v>Susan Baker</v>
      </c>
      <c r="D169" t="s">
        <v>19</v>
      </c>
      <c r="E169">
        <v>31</v>
      </c>
      <c r="F169" t="s">
        <v>123</v>
      </c>
      <c r="G169" t="s">
        <v>21</v>
      </c>
      <c r="H169" t="s">
        <v>34</v>
      </c>
      <c r="I169">
        <v>10</v>
      </c>
      <c r="J169">
        <v>75</v>
      </c>
      <c r="K169">
        <v>0</v>
      </c>
      <c r="L169" t="s">
        <v>154</v>
      </c>
      <c r="M169" s="1">
        <v>0.7</v>
      </c>
    </row>
    <row r="170" spans="1:13" x14ac:dyDescent="0.3">
      <c r="A170" t="s">
        <v>414</v>
      </c>
      <c r="B170" t="s">
        <v>415</v>
      </c>
      <c r="C170" t="str">
        <f t="shared" si="2"/>
        <v>Anthony Larsen</v>
      </c>
      <c r="D170" t="s">
        <v>58</v>
      </c>
      <c r="E170">
        <v>60</v>
      </c>
      <c r="F170" t="s">
        <v>67</v>
      </c>
      <c r="G170" t="s">
        <v>68</v>
      </c>
      <c r="H170" t="s">
        <v>74</v>
      </c>
      <c r="I170">
        <v>20</v>
      </c>
      <c r="J170">
        <v>40</v>
      </c>
      <c r="K170">
        <v>1.4</v>
      </c>
      <c r="L170" t="s">
        <v>154</v>
      </c>
      <c r="M170">
        <v>87</v>
      </c>
    </row>
    <row r="171" spans="1:13" x14ac:dyDescent="0.3">
      <c r="A171" t="s">
        <v>416</v>
      </c>
      <c r="B171" t="s">
        <v>417</v>
      </c>
      <c r="C171" t="str">
        <f t="shared" si="2"/>
        <v>Nicholas Carpenter</v>
      </c>
      <c r="D171" t="s">
        <v>58</v>
      </c>
      <c r="E171">
        <v>46</v>
      </c>
      <c r="F171" t="s">
        <v>130</v>
      </c>
      <c r="G171" t="s">
        <v>131</v>
      </c>
      <c r="H171" t="s">
        <v>85</v>
      </c>
      <c r="I171">
        <v>23</v>
      </c>
      <c r="J171">
        <v>20</v>
      </c>
      <c r="K171">
        <v>2.9</v>
      </c>
      <c r="L171" t="s">
        <v>30</v>
      </c>
      <c r="M171" s="1">
        <v>0.72</v>
      </c>
    </row>
    <row r="172" spans="1:13" x14ac:dyDescent="0.3">
      <c r="A172" t="s">
        <v>418</v>
      </c>
      <c r="B172" t="s">
        <v>419</v>
      </c>
      <c r="C172" t="str">
        <f t="shared" si="2"/>
        <v>Debra Salazar</v>
      </c>
      <c r="D172" t="s">
        <v>33</v>
      </c>
      <c r="F172" t="s">
        <v>40</v>
      </c>
      <c r="G172" t="s">
        <v>41</v>
      </c>
      <c r="H172" t="s">
        <v>16</v>
      </c>
      <c r="J172">
        <v>40</v>
      </c>
      <c r="K172">
        <v>2.8</v>
      </c>
      <c r="L172" t="s">
        <v>30</v>
      </c>
      <c r="M172" s="1">
        <v>0.8</v>
      </c>
    </row>
    <row r="173" spans="1:13" x14ac:dyDescent="0.3">
      <c r="A173" t="s">
        <v>420</v>
      </c>
      <c r="B173" t="s">
        <v>421</v>
      </c>
      <c r="C173" t="str">
        <f t="shared" si="2"/>
        <v>William Smith</v>
      </c>
      <c r="D173" t="s">
        <v>93</v>
      </c>
      <c r="E173">
        <v>34</v>
      </c>
      <c r="F173" t="s">
        <v>81</v>
      </c>
      <c r="G173" t="s">
        <v>82</v>
      </c>
      <c r="H173" t="s">
        <v>69</v>
      </c>
      <c r="I173">
        <v>0</v>
      </c>
      <c r="J173">
        <v>20</v>
      </c>
      <c r="K173">
        <v>1.7</v>
      </c>
      <c r="L173">
        <v>0</v>
      </c>
      <c r="M173" s="1">
        <v>0.66</v>
      </c>
    </row>
    <row r="174" spans="1:13" x14ac:dyDescent="0.3">
      <c r="A174" t="s">
        <v>422</v>
      </c>
      <c r="B174" t="s">
        <v>423</v>
      </c>
      <c r="C174" t="str">
        <f t="shared" si="2"/>
        <v>Caroline Gross</v>
      </c>
      <c r="D174" t="s">
        <v>13</v>
      </c>
      <c r="E174">
        <v>42</v>
      </c>
      <c r="F174" t="s">
        <v>40</v>
      </c>
      <c r="G174" t="s">
        <v>41</v>
      </c>
      <c r="H174" t="s">
        <v>29</v>
      </c>
      <c r="I174">
        <v>7</v>
      </c>
      <c r="J174" t="s">
        <v>52</v>
      </c>
      <c r="K174">
        <v>0</v>
      </c>
      <c r="L174">
        <v>1</v>
      </c>
    </row>
    <row r="175" spans="1:13" x14ac:dyDescent="0.3">
      <c r="A175" t="s">
        <v>424</v>
      </c>
      <c r="B175" t="s">
        <v>425</v>
      </c>
      <c r="C175" t="str">
        <f t="shared" si="2"/>
        <v>Jeremy Sawyer</v>
      </c>
      <c r="D175" t="s">
        <v>88</v>
      </c>
      <c r="E175">
        <v>31</v>
      </c>
      <c r="F175" t="s">
        <v>63</v>
      </c>
      <c r="G175" t="s">
        <v>21</v>
      </c>
      <c r="H175" t="s">
        <v>48</v>
      </c>
      <c r="I175">
        <v>4</v>
      </c>
      <c r="J175" t="s">
        <v>49</v>
      </c>
      <c r="K175">
        <v>1.1000000000000001</v>
      </c>
      <c r="L175" t="b">
        <v>1</v>
      </c>
      <c r="M175" s="1">
        <v>0.64</v>
      </c>
    </row>
    <row r="176" spans="1:13" x14ac:dyDescent="0.3">
      <c r="A176" t="s">
        <v>426</v>
      </c>
      <c r="B176" t="s">
        <v>427</v>
      </c>
      <c r="C176" t="str">
        <f t="shared" si="2"/>
        <v>Eduardo Burns</v>
      </c>
      <c r="D176" t="s">
        <v>26</v>
      </c>
      <c r="E176">
        <v>29</v>
      </c>
      <c r="F176" t="s">
        <v>103</v>
      </c>
      <c r="G176" t="s">
        <v>104</v>
      </c>
      <c r="H176" t="s">
        <v>69</v>
      </c>
      <c r="I176">
        <v>9</v>
      </c>
      <c r="J176">
        <v>20</v>
      </c>
      <c r="M176" s="1">
        <v>0.68</v>
      </c>
    </row>
    <row r="177" spans="1:13" x14ac:dyDescent="0.3">
      <c r="A177" t="s">
        <v>428</v>
      </c>
      <c r="B177" t="s">
        <v>429</v>
      </c>
      <c r="C177" t="str">
        <f t="shared" ref="C177:C240" si="3">B177</f>
        <v>Amanda Jones</v>
      </c>
      <c r="D177" t="s">
        <v>37</v>
      </c>
      <c r="E177">
        <v>57</v>
      </c>
      <c r="F177" t="s">
        <v>20</v>
      </c>
      <c r="G177" t="s">
        <v>21</v>
      </c>
      <c r="H177" t="s">
        <v>29</v>
      </c>
      <c r="I177">
        <v>17</v>
      </c>
      <c r="J177">
        <v>20</v>
      </c>
      <c r="K177">
        <v>3.6</v>
      </c>
      <c r="L177">
        <v>0</v>
      </c>
      <c r="M177" s="1">
        <v>0.63</v>
      </c>
    </row>
    <row r="178" spans="1:13" x14ac:dyDescent="0.3">
      <c r="A178" t="s">
        <v>430</v>
      </c>
      <c r="B178" t="s">
        <v>431</v>
      </c>
      <c r="C178" t="str">
        <f t="shared" si="3"/>
        <v>Frederick Ware</v>
      </c>
      <c r="D178" t="s">
        <v>58</v>
      </c>
      <c r="E178">
        <v>47</v>
      </c>
      <c r="F178" t="s">
        <v>89</v>
      </c>
      <c r="G178" t="s">
        <v>90</v>
      </c>
      <c r="H178" t="s">
        <v>85</v>
      </c>
      <c r="I178">
        <v>8</v>
      </c>
      <c r="J178">
        <v>20</v>
      </c>
      <c r="K178">
        <v>4.5</v>
      </c>
      <c r="L178">
        <v>1</v>
      </c>
      <c r="M178" s="1">
        <v>0.72</v>
      </c>
    </row>
    <row r="179" spans="1:13" x14ac:dyDescent="0.3">
      <c r="A179" t="s">
        <v>432</v>
      </c>
      <c r="B179" t="s">
        <v>433</v>
      </c>
      <c r="C179" t="str">
        <f t="shared" si="3"/>
        <v>Michael Black</v>
      </c>
      <c r="D179" t="s">
        <v>58</v>
      </c>
      <c r="E179">
        <v>47</v>
      </c>
      <c r="F179" t="s">
        <v>148</v>
      </c>
      <c r="G179" t="s">
        <v>149</v>
      </c>
      <c r="H179" t="s">
        <v>42</v>
      </c>
      <c r="I179">
        <v>14</v>
      </c>
      <c r="J179" s="2">
        <v>30</v>
      </c>
      <c r="K179">
        <v>0</v>
      </c>
      <c r="L179" t="b">
        <v>1</v>
      </c>
      <c r="M179" s="1">
        <v>0.86</v>
      </c>
    </row>
    <row r="180" spans="1:13" x14ac:dyDescent="0.3">
      <c r="A180" t="s">
        <v>434</v>
      </c>
      <c r="B180" t="s">
        <v>435</v>
      </c>
      <c r="C180" t="str">
        <f t="shared" si="3"/>
        <v>Patricia Sanders</v>
      </c>
      <c r="D180" t="s">
        <v>19</v>
      </c>
      <c r="E180">
        <v>45</v>
      </c>
      <c r="F180" t="s">
        <v>130</v>
      </c>
      <c r="G180" t="s">
        <v>131</v>
      </c>
      <c r="H180" t="s">
        <v>29</v>
      </c>
      <c r="I180">
        <v>21</v>
      </c>
      <c r="J180" t="s">
        <v>105</v>
      </c>
      <c r="K180">
        <v>1.5</v>
      </c>
      <c r="L180">
        <v>1</v>
      </c>
      <c r="M180" s="1">
        <v>0.73</v>
      </c>
    </row>
    <row r="181" spans="1:13" x14ac:dyDescent="0.3">
      <c r="A181" t="s">
        <v>436</v>
      </c>
      <c r="B181" t="s">
        <v>437</v>
      </c>
      <c r="C181" t="str">
        <f t="shared" si="3"/>
        <v>Marc Joseph</v>
      </c>
      <c r="D181" t="s">
        <v>45</v>
      </c>
      <c r="E181">
        <v>24</v>
      </c>
      <c r="F181" t="s">
        <v>59</v>
      </c>
      <c r="G181" t="s">
        <v>60</v>
      </c>
      <c r="H181" t="s">
        <v>110</v>
      </c>
      <c r="I181">
        <v>1</v>
      </c>
      <c r="J181" s="2">
        <v>30</v>
      </c>
      <c r="K181">
        <v>3.7</v>
      </c>
      <c r="L181" t="s">
        <v>154</v>
      </c>
      <c r="M181" s="1">
        <v>0.95</v>
      </c>
    </row>
    <row r="182" spans="1:13" x14ac:dyDescent="0.3">
      <c r="A182" t="s">
        <v>438</v>
      </c>
      <c r="B182" t="s">
        <v>439</v>
      </c>
      <c r="C182" t="str">
        <f t="shared" si="3"/>
        <v>Vanessa White</v>
      </c>
      <c r="D182" t="s">
        <v>19</v>
      </c>
      <c r="E182">
        <v>31</v>
      </c>
      <c r="F182" t="s">
        <v>67</v>
      </c>
      <c r="G182" t="s">
        <v>68</v>
      </c>
      <c r="H182" t="s">
        <v>22</v>
      </c>
      <c r="I182">
        <v>12</v>
      </c>
      <c r="J182">
        <v>20</v>
      </c>
      <c r="K182">
        <v>2.2999999999999998</v>
      </c>
      <c r="L182" t="b">
        <v>0</v>
      </c>
      <c r="M182" s="1">
        <v>0.9</v>
      </c>
    </row>
    <row r="183" spans="1:13" x14ac:dyDescent="0.3">
      <c r="A183" t="s">
        <v>440</v>
      </c>
      <c r="B183" t="s">
        <v>441</v>
      </c>
      <c r="C183" t="str">
        <f t="shared" si="3"/>
        <v>Jennifer Garcia</v>
      </c>
      <c r="D183" t="s">
        <v>33</v>
      </c>
      <c r="E183">
        <v>20</v>
      </c>
      <c r="F183" t="s">
        <v>173</v>
      </c>
      <c r="G183" t="s">
        <v>68</v>
      </c>
      <c r="H183" t="s">
        <v>29</v>
      </c>
      <c r="I183">
        <v>2</v>
      </c>
      <c r="J183" s="2">
        <v>20</v>
      </c>
      <c r="K183">
        <v>2.8</v>
      </c>
      <c r="L183">
        <v>0</v>
      </c>
      <c r="M183" s="1">
        <v>0.78</v>
      </c>
    </row>
    <row r="184" spans="1:13" x14ac:dyDescent="0.3">
      <c r="A184" t="s">
        <v>442</v>
      </c>
      <c r="B184" t="s">
        <v>443</v>
      </c>
      <c r="C184" t="str">
        <f t="shared" si="3"/>
        <v>Michael Zavala</v>
      </c>
      <c r="D184" t="s">
        <v>58</v>
      </c>
      <c r="E184">
        <v>38</v>
      </c>
      <c r="F184" t="s">
        <v>81</v>
      </c>
      <c r="G184" t="s">
        <v>82</v>
      </c>
      <c r="H184" t="s">
        <v>34</v>
      </c>
      <c r="I184">
        <v>3</v>
      </c>
      <c r="J184">
        <v>30</v>
      </c>
      <c r="K184">
        <v>3.5</v>
      </c>
      <c r="L184" t="s">
        <v>154</v>
      </c>
      <c r="M184" s="1">
        <v>0.97</v>
      </c>
    </row>
    <row r="185" spans="1:13" x14ac:dyDescent="0.3">
      <c r="A185" t="s">
        <v>444</v>
      </c>
      <c r="B185" t="s">
        <v>445</v>
      </c>
      <c r="C185" t="str">
        <f t="shared" si="3"/>
        <v>Kimberly Williams</v>
      </c>
      <c r="D185" t="s">
        <v>37</v>
      </c>
      <c r="E185">
        <v>33</v>
      </c>
      <c r="F185" t="s">
        <v>27</v>
      </c>
      <c r="G185" t="s">
        <v>28</v>
      </c>
      <c r="H185" t="s">
        <v>69</v>
      </c>
      <c r="I185">
        <v>11</v>
      </c>
      <c r="K185">
        <v>0</v>
      </c>
      <c r="L185" t="s">
        <v>64</v>
      </c>
      <c r="M185" s="1">
        <v>0.65</v>
      </c>
    </row>
    <row r="186" spans="1:13" x14ac:dyDescent="0.3">
      <c r="A186" t="s">
        <v>446</v>
      </c>
      <c r="B186" t="s">
        <v>447</v>
      </c>
      <c r="C186" t="str">
        <f t="shared" si="3"/>
        <v>Elizabeth Jenkins</v>
      </c>
      <c r="D186" t="s">
        <v>33</v>
      </c>
      <c r="E186">
        <v>31</v>
      </c>
      <c r="F186" t="s">
        <v>20</v>
      </c>
      <c r="G186" t="s">
        <v>21</v>
      </c>
      <c r="H186" t="s">
        <v>34</v>
      </c>
      <c r="I186">
        <v>4</v>
      </c>
      <c r="J186">
        <v>40</v>
      </c>
      <c r="K186">
        <v>3.2</v>
      </c>
      <c r="L186">
        <v>1</v>
      </c>
      <c r="M186" s="1">
        <v>0.78</v>
      </c>
    </row>
    <row r="187" spans="1:13" x14ac:dyDescent="0.3">
      <c r="A187" t="s">
        <v>448</v>
      </c>
      <c r="B187" t="s">
        <v>449</v>
      </c>
      <c r="C187" t="str">
        <f t="shared" si="3"/>
        <v>Brandon Ford</v>
      </c>
      <c r="D187" t="s">
        <v>45</v>
      </c>
      <c r="E187">
        <v>41</v>
      </c>
      <c r="F187" t="s">
        <v>184</v>
      </c>
      <c r="G187" t="s">
        <v>68</v>
      </c>
      <c r="H187" t="s">
        <v>110</v>
      </c>
      <c r="I187">
        <v>21</v>
      </c>
      <c r="J187">
        <v>50</v>
      </c>
      <c r="K187">
        <v>3.3</v>
      </c>
      <c r="L187" t="s">
        <v>70</v>
      </c>
      <c r="M187" s="1">
        <v>0.65</v>
      </c>
    </row>
    <row r="188" spans="1:13" x14ac:dyDescent="0.3">
      <c r="A188" t="s">
        <v>450</v>
      </c>
      <c r="B188" t="s">
        <v>451</v>
      </c>
      <c r="C188" t="str">
        <f t="shared" si="3"/>
        <v>Justin House</v>
      </c>
      <c r="D188" t="s">
        <v>58</v>
      </c>
      <c r="E188">
        <v>54</v>
      </c>
      <c r="F188" t="s">
        <v>59</v>
      </c>
      <c r="G188" t="s">
        <v>60</v>
      </c>
      <c r="H188" t="s">
        <v>34</v>
      </c>
      <c r="I188">
        <v>0</v>
      </c>
      <c r="J188" s="2">
        <v>20</v>
      </c>
      <c r="K188">
        <v>4.9000000000000004</v>
      </c>
    </row>
    <row r="189" spans="1:13" x14ac:dyDescent="0.3">
      <c r="A189" t="s">
        <v>452</v>
      </c>
      <c r="B189" t="s">
        <v>453</v>
      </c>
      <c r="C189" t="str">
        <f t="shared" si="3"/>
        <v>Henry Mullen</v>
      </c>
      <c r="D189" t="s">
        <v>26</v>
      </c>
      <c r="E189">
        <v>50</v>
      </c>
      <c r="F189" t="s">
        <v>173</v>
      </c>
      <c r="G189" t="s">
        <v>68</v>
      </c>
      <c r="H189" t="s">
        <v>48</v>
      </c>
      <c r="I189">
        <v>6</v>
      </c>
      <c r="J189">
        <v>30</v>
      </c>
      <c r="K189">
        <v>2.2000000000000002</v>
      </c>
      <c r="L189">
        <v>1</v>
      </c>
      <c r="M189" s="1">
        <v>0.95</v>
      </c>
    </row>
    <row r="190" spans="1:13" x14ac:dyDescent="0.3">
      <c r="A190" t="s">
        <v>454</v>
      </c>
      <c r="B190" t="s">
        <v>455</v>
      </c>
      <c r="C190" t="str">
        <f t="shared" si="3"/>
        <v>Jesse Cochran</v>
      </c>
      <c r="D190" t="s">
        <v>58</v>
      </c>
      <c r="E190">
        <v>48</v>
      </c>
      <c r="F190" t="s">
        <v>103</v>
      </c>
      <c r="G190" t="s">
        <v>104</v>
      </c>
      <c r="H190" t="s">
        <v>110</v>
      </c>
      <c r="I190">
        <v>18</v>
      </c>
      <c r="J190" t="s">
        <v>52</v>
      </c>
      <c r="L190">
        <v>1</v>
      </c>
      <c r="M190" s="1">
        <v>0.88</v>
      </c>
    </row>
    <row r="191" spans="1:13" x14ac:dyDescent="0.3">
      <c r="A191" t="s">
        <v>456</v>
      </c>
      <c r="B191" t="s">
        <v>457</v>
      </c>
      <c r="C191" t="str">
        <f t="shared" si="3"/>
        <v>Melissa Rich</v>
      </c>
      <c r="D191" t="s">
        <v>13</v>
      </c>
      <c r="E191">
        <v>49</v>
      </c>
      <c r="F191" t="s">
        <v>173</v>
      </c>
      <c r="G191" t="s">
        <v>68</v>
      </c>
      <c r="H191" t="s">
        <v>29</v>
      </c>
      <c r="K191">
        <v>1.8</v>
      </c>
      <c r="L191">
        <v>0</v>
      </c>
    </row>
    <row r="192" spans="1:13" x14ac:dyDescent="0.3">
      <c r="A192" t="s">
        <v>458</v>
      </c>
      <c r="B192" t="s">
        <v>459</v>
      </c>
      <c r="C192" t="str">
        <f t="shared" si="3"/>
        <v>Patrick Dunlap</v>
      </c>
      <c r="D192" t="s">
        <v>93</v>
      </c>
      <c r="E192">
        <v>21</v>
      </c>
      <c r="F192" t="s">
        <v>108</v>
      </c>
      <c r="G192" t="s">
        <v>109</v>
      </c>
      <c r="H192" t="s">
        <v>29</v>
      </c>
      <c r="I192">
        <v>1</v>
      </c>
      <c r="J192">
        <v>75</v>
      </c>
      <c r="K192">
        <v>4.5999999999999996</v>
      </c>
      <c r="L192">
        <v>0</v>
      </c>
      <c r="M192" s="1">
        <v>0.92</v>
      </c>
    </row>
    <row r="193" spans="1:13" x14ac:dyDescent="0.3">
      <c r="A193" t="s">
        <v>460</v>
      </c>
      <c r="B193" t="s">
        <v>461</v>
      </c>
      <c r="C193" t="str">
        <f t="shared" si="3"/>
        <v>Troy Carson</v>
      </c>
      <c r="D193" t="s">
        <v>88</v>
      </c>
      <c r="E193">
        <v>58</v>
      </c>
      <c r="F193" t="s">
        <v>20</v>
      </c>
      <c r="G193" t="s">
        <v>21</v>
      </c>
      <c r="H193" t="s">
        <v>29</v>
      </c>
      <c r="I193">
        <v>20</v>
      </c>
      <c r="J193">
        <v>75</v>
      </c>
      <c r="K193">
        <v>2.8</v>
      </c>
      <c r="L193" t="s">
        <v>154</v>
      </c>
      <c r="M193" s="1">
        <v>0.75</v>
      </c>
    </row>
    <row r="194" spans="1:13" x14ac:dyDescent="0.3">
      <c r="A194" t="s">
        <v>462</v>
      </c>
      <c r="B194" t="s">
        <v>256</v>
      </c>
      <c r="C194" t="str">
        <f t="shared" si="3"/>
        <v>Matthew Smith</v>
      </c>
      <c r="D194" t="s">
        <v>58</v>
      </c>
      <c r="E194">
        <v>41</v>
      </c>
      <c r="F194" t="s">
        <v>14</v>
      </c>
      <c r="G194" t="s">
        <v>15</v>
      </c>
      <c r="H194" t="s">
        <v>85</v>
      </c>
      <c r="J194" s="2">
        <v>30</v>
      </c>
      <c r="K194">
        <v>1.4</v>
      </c>
      <c r="L194" t="b">
        <v>0</v>
      </c>
      <c r="M194" s="1">
        <v>0.74</v>
      </c>
    </row>
    <row r="195" spans="1:13" x14ac:dyDescent="0.3">
      <c r="A195" t="s">
        <v>463</v>
      </c>
      <c r="B195" t="s">
        <v>464</v>
      </c>
      <c r="C195" t="str">
        <f t="shared" si="3"/>
        <v>Jennifer Cherry</v>
      </c>
      <c r="D195" t="s">
        <v>33</v>
      </c>
      <c r="E195">
        <v>58</v>
      </c>
      <c r="F195" t="s">
        <v>119</v>
      </c>
      <c r="G195" t="s">
        <v>120</v>
      </c>
      <c r="H195" t="s">
        <v>16</v>
      </c>
      <c r="I195">
        <v>25</v>
      </c>
      <c r="J195" s="2">
        <v>30</v>
      </c>
      <c r="K195">
        <v>4.2</v>
      </c>
      <c r="L195" t="s">
        <v>70</v>
      </c>
      <c r="M195" s="1">
        <v>0.71</v>
      </c>
    </row>
    <row r="196" spans="1:13" x14ac:dyDescent="0.3">
      <c r="A196" t="s">
        <v>465</v>
      </c>
      <c r="B196" t="s">
        <v>466</v>
      </c>
      <c r="C196" t="str">
        <f t="shared" si="3"/>
        <v>Brandi Tucker</v>
      </c>
      <c r="D196" t="s">
        <v>37</v>
      </c>
      <c r="E196">
        <v>50</v>
      </c>
      <c r="F196" t="s">
        <v>148</v>
      </c>
      <c r="G196" t="s">
        <v>149</v>
      </c>
      <c r="H196" t="s">
        <v>29</v>
      </c>
      <c r="I196">
        <v>20</v>
      </c>
      <c r="J196" t="s">
        <v>52</v>
      </c>
      <c r="K196">
        <v>3.6</v>
      </c>
      <c r="L196">
        <v>1</v>
      </c>
      <c r="M196" s="1">
        <v>0.89</v>
      </c>
    </row>
    <row r="197" spans="1:13" x14ac:dyDescent="0.3">
      <c r="A197" t="s">
        <v>467</v>
      </c>
      <c r="B197" t="s">
        <v>468</v>
      </c>
      <c r="C197" t="str">
        <f t="shared" si="3"/>
        <v>Zachary Burke</v>
      </c>
      <c r="D197" t="s">
        <v>45</v>
      </c>
      <c r="E197">
        <v>52</v>
      </c>
      <c r="F197" t="s">
        <v>46</v>
      </c>
      <c r="G197" t="s">
        <v>47</v>
      </c>
      <c r="H197" t="s">
        <v>34</v>
      </c>
      <c r="I197">
        <v>33</v>
      </c>
      <c r="J197" s="2">
        <v>100</v>
      </c>
      <c r="K197">
        <v>1.6</v>
      </c>
      <c r="M197" s="1">
        <v>0.66</v>
      </c>
    </row>
    <row r="198" spans="1:13" x14ac:dyDescent="0.3">
      <c r="A198" t="s">
        <v>469</v>
      </c>
      <c r="B198" t="s">
        <v>470</v>
      </c>
      <c r="C198" t="str">
        <f t="shared" si="3"/>
        <v>Thomas Jones</v>
      </c>
      <c r="D198" t="s">
        <v>45</v>
      </c>
      <c r="E198">
        <v>34</v>
      </c>
      <c r="F198" t="s">
        <v>40</v>
      </c>
      <c r="G198" t="s">
        <v>41</v>
      </c>
      <c r="H198" t="s">
        <v>48</v>
      </c>
      <c r="I198">
        <v>6</v>
      </c>
      <c r="J198" s="2">
        <v>100</v>
      </c>
      <c r="K198">
        <v>2</v>
      </c>
      <c r="L198" t="s">
        <v>154</v>
      </c>
    </row>
    <row r="199" spans="1:13" x14ac:dyDescent="0.3">
      <c r="A199" t="s">
        <v>471</v>
      </c>
      <c r="B199" t="s">
        <v>472</v>
      </c>
      <c r="C199" t="str">
        <f t="shared" si="3"/>
        <v>Brian Dunn</v>
      </c>
      <c r="D199" t="s">
        <v>93</v>
      </c>
      <c r="E199">
        <v>32</v>
      </c>
      <c r="F199" t="s">
        <v>130</v>
      </c>
      <c r="G199" t="s">
        <v>131</v>
      </c>
      <c r="H199" t="s">
        <v>110</v>
      </c>
      <c r="I199">
        <v>11</v>
      </c>
      <c r="J199">
        <v>40</v>
      </c>
      <c r="K199">
        <v>4.3</v>
      </c>
      <c r="L199" t="b">
        <v>1</v>
      </c>
      <c r="M199" s="1">
        <v>0.86</v>
      </c>
    </row>
    <row r="200" spans="1:13" x14ac:dyDescent="0.3">
      <c r="A200" t="s">
        <v>473</v>
      </c>
      <c r="B200" t="s">
        <v>474</v>
      </c>
      <c r="C200" t="str">
        <f t="shared" si="3"/>
        <v>Shirley Strickland</v>
      </c>
      <c r="D200" t="s">
        <v>33</v>
      </c>
      <c r="E200">
        <v>50</v>
      </c>
      <c r="F200" t="s">
        <v>89</v>
      </c>
      <c r="G200" t="s">
        <v>90</v>
      </c>
      <c r="H200" t="s">
        <v>29</v>
      </c>
      <c r="I200">
        <v>28</v>
      </c>
      <c r="J200" s="2">
        <v>100</v>
      </c>
      <c r="K200">
        <v>4.9000000000000004</v>
      </c>
      <c r="L200" t="s">
        <v>70</v>
      </c>
      <c r="M200" s="1">
        <v>0.86</v>
      </c>
    </row>
    <row r="201" spans="1:13" x14ac:dyDescent="0.3">
      <c r="A201" t="s">
        <v>475</v>
      </c>
      <c r="B201" t="s">
        <v>476</v>
      </c>
      <c r="C201" t="str">
        <f t="shared" si="3"/>
        <v>Nicole Meyers</v>
      </c>
      <c r="D201" t="s">
        <v>37</v>
      </c>
      <c r="E201">
        <v>39</v>
      </c>
      <c r="F201" t="s">
        <v>67</v>
      </c>
      <c r="G201" t="s">
        <v>68</v>
      </c>
      <c r="H201" t="s">
        <v>48</v>
      </c>
      <c r="I201">
        <v>11</v>
      </c>
      <c r="J201">
        <v>100</v>
      </c>
      <c r="K201">
        <v>3.5</v>
      </c>
      <c r="L201" t="s">
        <v>70</v>
      </c>
      <c r="M201" s="1">
        <v>0.82</v>
      </c>
    </row>
    <row r="202" spans="1:13" x14ac:dyDescent="0.3">
      <c r="A202" t="s">
        <v>477</v>
      </c>
      <c r="B202" t="s">
        <v>478</v>
      </c>
      <c r="C202" t="str">
        <f t="shared" si="3"/>
        <v>Jill Stephens</v>
      </c>
      <c r="D202" t="s">
        <v>13</v>
      </c>
      <c r="E202">
        <v>25</v>
      </c>
      <c r="F202" t="s">
        <v>184</v>
      </c>
      <c r="G202" t="s">
        <v>68</v>
      </c>
      <c r="H202" t="s">
        <v>42</v>
      </c>
      <c r="I202">
        <v>2</v>
      </c>
      <c r="J202">
        <v>100</v>
      </c>
      <c r="K202">
        <v>2.5</v>
      </c>
      <c r="L202" t="s">
        <v>154</v>
      </c>
      <c r="M202">
        <v>87</v>
      </c>
    </row>
    <row r="203" spans="1:13" x14ac:dyDescent="0.3">
      <c r="A203" t="s">
        <v>479</v>
      </c>
      <c r="B203" t="s">
        <v>480</v>
      </c>
      <c r="C203" t="str">
        <f t="shared" si="3"/>
        <v>Heidi Miranda</v>
      </c>
      <c r="D203" t="s">
        <v>19</v>
      </c>
      <c r="E203">
        <v>55</v>
      </c>
      <c r="F203" t="s">
        <v>169</v>
      </c>
      <c r="G203" t="s">
        <v>170</v>
      </c>
      <c r="H203" t="s">
        <v>110</v>
      </c>
      <c r="I203">
        <v>7</v>
      </c>
      <c r="J203">
        <v>100</v>
      </c>
      <c r="K203">
        <v>1.7</v>
      </c>
      <c r="L203">
        <v>1</v>
      </c>
      <c r="M203" s="1">
        <v>0.8</v>
      </c>
    </row>
    <row r="204" spans="1:13" x14ac:dyDescent="0.3">
      <c r="A204" t="s">
        <v>481</v>
      </c>
      <c r="B204" t="s">
        <v>482</v>
      </c>
      <c r="C204" t="str">
        <f t="shared" si="3"/>
        <v>Jesus Martinez</v>
      </c>
      <c r="D204" t="s">
        <v>45</v>
      </c>
      <c r="E204">
        <v>42</v>
      </c>
      <c r="F204" t="s">
        <v>14</v>
      </c>
      <c r="G204" t="s">
        <v>15</v>
      </c>
      <c r="H204" t="s">
        <v>85</v>
      </c>
      <c r="I204">
        <v>10</v>
      </c>
      <c r="J204" t="s">
        <v>23</v>
      </c>
      <c r="K204">
        <v>4.5999999999999996</v>
      </c>
      <c r="L204" t="s">
        <v>70</v>
      </c>
      <c r="M204" s="1">
        <v>0.71</v>
      </c>
    </row>
    <row r="205" spans="1:13" x14ac:dyDescent="0.3">
      <c r="A205" t="s">
        <v>483</v>
      </c>
      <c r="B205" t="s">
        <v>484</v>
      </c>
      <c r="C205" t="str">
        <f t="shared" si="3"/>
        <v>Adam Payne</v>
      </c>
      <c r="D205" t="s">
        <v>26</v>
      </c>
      <c r="E205">
        <v>43</v>
      </c>
      <c r="F205" t="s">
        <v>119</v>
      </c>
      <c r="G205" t="s">
        <v>120</v>
      </c>
      <c r="H205" t="s">
        <v>22</v>
      </c>
      <c r="I205">
        <v>6</v>
      </c>
      <c r="J205">
        <v>50</v>
      </c>
      <c r="L205" t="s">
        <v>30</v>
      </c>
      <c r="M205" s="1">
        <v>0.77</v>
      </c>
    </row>
    <row r="206" spans="1:13" x14ac:dyDescent="0.3">
      <c r="A206" t="s">
        <v>485</v>
      </c>
      <c r="B206" t="s">
        <v>486</v>
      </c>
      <c r="C206" t="str">
        <f t="shared" si="3"/>
        <v>Walter Williams</v>
      </c>
      <c r="D206" t="s">
        <v>45</v>
      </c>
      <c r="E206">
        <v>54</v>
      </c>
      <c r="F206" t="s">
        <v>14</v>
      </c>
      <c r="G206" t="s">
        <v>15</v>
      </c>
      <c r="H206" t="s">
        <v>85</v>
      </c>
      <c r="I206">
        <v>29</v>
      </c>
      <c r="J206" s="2">
        <v>30</v>
      </c>
      <c r="K206">
        <v>1.7</v>
      </c>
      <c r="L206">
        <v>0</v>
      </c>
      <c r="M206">
        <v>68</v>
      </c>
    </row>
    <row r="207" spans="1:13" x14ac:dyDescent="0.3">
      <c r="A207" t="s">
        <v>487</v>
      </c>
      <c r="B207" t="s">
        <v>488</v>
      </c>
      <c r="C207" t="str">
        <f t="shared" si="3"/>
        <v>Shannon Farmer</v>
      </c>
      <c r="D207" t="s">
        <v>19</v>
      </c>
      <c r="E207">
        <v>21</v>
      </c>
      <c r="F207" t="s">
        <v>134</v>
      </c>
      <c r="G207" t="s">
        <v>135</v>
      </c>
      <c r="H207" t="s">
        <v>29</v>
      </c>
      <c r="I207">
        <v>0</v>
      </c>
      <c r="J207">
        <v>20</v>
      </c>
      <c r="K207">
        <v>1.8</v>
      </c>
      <c r="L207" t="s">
        <v>30</v>
      </c>
      <c r="M207" s="1">
        <v>0.91</v>
      </c>
    </row>
    <row r="208" spans="1:13" x14ac:dyDescent="0.3">
      <c r="A208" t="s">
        <v>489</v>
      </c>
      <c r="B208" t="s">
        <v>490</v>
      </c>
      <c r="C208" t="str">
        <f t="shared" si="3"/>
        <v>Peter Reyes</v>
      </c>
      <c r="D208" t="s">
        <v>45</v>
      </c>
      <c r="E208">
        <v>46</v>
      </c>
      <c r="F208" t="s">
        <v>123</v>
      </c>
      <c r="G208" t="s">
        <v>21</v>
      </c>
      <c r="H208" t="s">
        <v>69</v>
      </c>
      <c r="I208">
        <v>5</v>
      </c>
      <c r="J208">
        <v>20</v>
      </c>
      <c r="K208">
        <v>2.2000000000000002</v>
      </c>
      <c r="L208" t="b">
        <v>0</v>
      </c>
      <c r="M208" s="1">
        <v>0.75</v>
      </c>
    </row>
    <row r="209" spans="1:13" x14ac:dyDescent="0.3">
      <c r="A209" t="s">
        <v>491</v>
      </c>
      <c r="B209" t="s">
        <v>492</v>
      </c>
      <c r="C209" t="str">
        <f t="shared" si="3"/>
        <v>Kristen Knight</v>
      </c>
      <c r="D209" t="s">
        <v>13</v>
      </c>
      <c r="E209">
        <v>30</v>
      </c>
      <c r="F209" t="s">
        <v>184</v>
      </c>
      <c r="G209" t="s">
        <v>68</v>
      </c>
      <c r="H209" t="s">
        <v>16</v>
      </c>
      <c r="I209">
        <v>11</v>
      </c>
      <c r="J209">
        <v>40</v>
      </c>
      <c r="K209">
        <v>1</v>
      </c>
      <c r="L209" t="s">
        <v>30</v>
      </c>
      <c r="M209" s="1">
        <v>0.9</v>
      </c>
    </row>
    <row r="210" spans="1:13" x14ac:dyDescent="0.3">
      <c r="A210" t="s">
        <v>493</v>
      </c>
      <c r="B210" t="s">
        <v>494</v>
      </c>
      <c r="C210" t="str">
        <f t="shared" si="3"/>
        <v>William Moore Jr.</v>
      </c>
      <c r="D210" t="s">
        <v>26</v>
      </c>
      <c r="E210">
        <v>36</v>
      </c>
      <c r="F210" t="s">
        <v>169</v>
      </c>
      <c r="G210" t="s">
        <v>170</v>
      </c>
      <c r="H210" t="s">
        <v>110</v>
      </c>
      <c r="I210">
        <v>11</v>
      </c>
      <c r="J210" s="2">
        <v>75</v>
      </c>
      <c r="K210">
        <v>3.2</v>
      </c>
      <c r="L210">
        <v>0</v>
      </c>
      <c r="M210">
        <v>93</v>
      </c>
    </row>
    <row r="211" spans="1:13" x14ac:dyDescent="0.3">
      <c r="A211" t="s">
        <v>495</v>
      </c>
      <c r="B211" t="s">
        <v>496</v>
      </c>
      <c r="C211" t="str">
        <f t="shared" si="3"/>
        <v>Jennifer Rowe</v>
      </c>
      <c r="D211" t="s">
        <v>73</v>
      </c>
      <c r="E211">
        <v>47</v>
      </c>
      <c r="F211" t="s">
        <v>27</v>
      </c>
      <c r="G211" t="s">
        <v>28</v>
      </c>
      <c r="H211" t="s">
        <v>48</v>
      </c>
      <c r="I211">
        <v>15</v>
      </c>
      <c r="J211">
        <v>40</v>
      </c>
      <c r="K211">
        <v>2.1</v>
      </c>
      <c r="L211" t="s">
        <v>64</v>
      </c>
      <c r="M211" s="1">
        <v>0.94</v>
      </c>
    </row>
    <row r="212" spans="1:13" x14ac:dyDescent="0.3">
      <c r="A212" t="s">
        <v>497</v>
      </c>
      <c r="B212" t="s">
        <v>498</v>
      </c>
      <c r="C212" t="str">
        <f t="shared" si="3"/>
        <v>Mikayla Henry</v>
      </c>
      <c r="D212" t="s">
        <v>33</v>
      </c>
      <c r="E212">
        <v>43</v>
      </c>
      <c r="F212" t="s">
        <v>123</v>
      </c>
      <c r="G212" t="s">
        <v>21</v>
      </c>
      <c r="H212" t="s">
        <v>22</v>
      </c>
      <c r="I212">
        <v>1</v>
      </c>
      <c r="J212" t="s">
        <v>94</v>
      </c>
      <c r="K212">
        <v>4.5999999999999996</v>
      </c>
      <c r="L212" t="b">
        <v>1</v>
      </c>
      <c r="M212">
        <v>64</v>
      </c>
    </row>
    <row r="213" spans="1:13" x14ac:dyDescent="0.3">
      <c r="A213" t="s">
        <v>499</v>
      </c>
      <c r="B213" t="s">
        <v>500</v>
      </c>
      <c r="C213" t="str">
        <f t="shared" si="3"/>
        <v>Jacob Kerr</v>
      </c>
      <c r="D213" t="s">
        <v>45</v>
      </c>
      <c r="E213">
        <v>57</v>
      </c>
      <c r="F213" t="s">
        <v>108</v>
      </c>
      <c r="G213" t="s">
        <v>109</v>
      </c>
      <c r="H213" t="s">
        <v>74</v>
      </c>
      <c r="I213">
        <v>8</v>
      </c>
      <c r="J213" s="2">
        <v>20</v>
      </c>
      <c r="K213">
        <v>0</v>
      </c>
      <c r="L213" t="s">
        <v>64</v>
      </c>
      <c r="M213" s="1">
        <v>0.84</v>
      </c>
    </row>
    <row r="214" spans="1:13" x14ac:dyDescent="0.3">
      <c r="A214" t="s">
        <v>501</v>
      </c>
      <c r="B214" t="s">
        <v>502</v>
      </c>
      <c r="C214" t="str">
        <f t="shared" si="3"/>
        <v>Ryan Johnson</v>
      </c>
      <c r="D214" t="s">
        <v>26</v>
      </c>
      <c r="E214">
        <v>52</v>
      </c>
      <c r="F214" t="s">
        <v>14</v>
      </c>
      <c r="G214" t="s">
        <v>15</v>
      </c>
      <c r="H214" t="s">
        <v>110</v>
      </c>
      <c r="I214">
        <v>30</v>
      </c>
      <c r="J214" s="2">
        <v>20</v>
      </c>
      <c r="K214">
        <v>2.8</v>
      </c>
      <c r="L214" t="s">
        <v>154</v>
      </c>
      <c r="M214" s="1">
        <v>0.87</v>
      </c>
    </row>
    <row r="215" spans="1:13" x14ac:dyDescent="0.3">
      <c r="A215" t="s">
        <v>503</v>
      </c>
      <c r="B215" t="s">
        <v>504</v>
      </c>
      <c r="C215" t="str">
        <f t="shared" si="3"/>
        <v>Michael Ruiz</v>
      </c>
      <c r="D215" t="s">
        <v>58</v>
      </c>
      <c r="F215" t="s">
        <v>27</v>
      </c>
      <c r="G215" t="s">
        <v>28</v>
      </c>
      <c r="H215" t="s">
        <v>16</v>
      </c>
      <c r="I215">
        <v>8</v>
      </c>
      <c r="J215" s="2">
        <v>40</v>
      </c>
      <c r="K215">
        <v>0</v>
      </c>
      <c r="L215" t="s">
        <v>30</v>
      </c>
      <c r="M215" s="1">
        <v>0.64</v>
      </c>
    </row>
    <row r="216" spans="1:13" x14ac:dyDescent="0.3">
      <c r="A216" t="s">
        <v>505</v>
      </c>
      <c r="B216" t="s">
        <v>506</v>
      </c>
      <c r="C216" t="str">
        <f t="shared" si="3"/>
        <v>Monica Roberts</v>
      </c>
      <c r="D216" t="s">
        <v>37</v>
      </c>
      <c r="E216">
        <v>22</v>
      </c>
      <c r="F216" t="s">
        <v>46</v>
      </c>
      <c r="G216" t="s">
        <v>47</v>
      </c>
      <c r="H216" t="s">
        <v>110</v>
      </c>
      <c r="I216">
        <v>0</v>
      </c>
      <c r="J216">
        <v>100</v>
      </c>
      <c r="K216">
        <v>2.7</v>
      </c>
      <c r="L216" t="b">
        <v>1</v>
      </c>
      <c r="M216" s="1">
        <v>0.64</v>
      </c>
    </row>
    <row r="217" spans="1:13" x14ac:dyDescent="0.3">
      <c r="A217" t="s">
        <v>507</v>
      </c>
      <c r="B217" t="s">
        <v>508</v>
      </c>
      <c r="C217" t="str">
        <f t="shared" si="3"/>
        <v>Danny Brown</v>
      </c>
      <c r="D217" t="s">
        <v>45</v>
      </c>
      <c r="F217" t="s">
        <v>89</v>
      </c>
      <c r="G217" t="s">
        <v>90</v>
      </c>
      <c r="H217" t="s">
        <v>110</v>
      </c>
      <c r="I217">
        <v>12</v>
      </c>
      <c r="J217" s="2">
        <v>20</v>
      </c>
      <c r="K217">
        <v>0</v>
      </c>
      <c r="L217" t="b">
        <v>1</v>
      </c>
      <c r="M217" s="1">
        <v>0.8</v>
      </c>
    </row>
    <row r="218" spans="1:13" x14ac:dyDescent="0.3">
      <c r="A218" t="s">
        <v>509</v>
      </c>
      <c r="B218" t="s">
        <v>510</v>
      </c>
      <c r="C218" t="str">
        <f t="shared" si="3"/>
        <v>Karen Larsen</v>
      </c>
      <c r="D218" t="s">
        <v>33</v>
      </c>
      <c r="E218">
        <v>58</v>
      </c>
      <c r="F218" t="s">
        <v>184</v>
      </c>
      <c r="G218" t="s">
        <v>68</v>
      </c>
      <c r="H218" t="s">
        <v>22</v>
      </c>
      <c r="I218">
        <v>4</v>
      </c>
      <c r="J218" s="2">
        <v>50</v>
      </c>
      <c r="K218">
        <v>3.1</v>
      </c>
      <c r="L218">
        <v>0</v>
      </c>
      <c r="M218" s="1">
        <v>0.9</v>
      </c>
    </row>
    <row r="219" spans="1:13" x14ac:dyDescent="0.3">
      <c r="A219" t="s">
        <v>511</v>
      </c>
      <c r="B219" t="s">
        <v>512</v>
      </c>
      <c r="C219" t="str">
        <f t="shared" si="3"/>
        <v>Robert Evans</v>
      </c>
      <c r="D219" t="s">
        <v>88</v>
      </c>
      <c r="E219">
        <v>39</v>
      </c>
      <c r="F219" t="s">
        <v>108</v>
      </c>
      <c r="G219" t="s">
        <v>109</v>
      </c>
      <c r="H219" t="s">
        <v>34</v>
      </c>
      <c r="I219">
        <v>14</v>
      </c>
      <c r="J219" t="s">
        <v>23</v>
      </c>
      <c r="K219">
        <v>0</v>
      </c>
      <c r="L219" t="s">
        <v>70</v>
      </c>
      <c r="M219" s="1">
        <v>0.92</v>
      </c>
    </row>
    <row r="220" spans="1:13" x14ac:dyDescent="0.3">
      <c r="A220" t="s">
        <v>513</v>
      </c>
      <c r="B220" t="s">
        <v>514</v>
      </c>
      <c r="C220" t="str">
        <f t="shared" si="3"/>
        <v>Sean Poole</v>
      </c>
      <c r="D220" t="s">
        <v>88</v>
      </c>
      <c r="E220">
        <v>32</v>
      </c>
      <c r="F220" t="s">
        <v>46</v>
      </c>
      <c r="G220" t="s">
        <v>47</v>
      </c>
      <c r="H220" t="s">
        <v>29</v>
      </c>
      <c r="I220">
        <v>14</v>
      </c>
      <c r="L220">
        <v>0</v>
      </c>
      <c r="M220" s="1">
        <v>0.96</v>
      </c>
    </row>
    <row r="221" spans="1:13" x14ac:dyDescent="0.3">
      <c r="A221" t="s">
        <v>515</v>
      </c>
      <c r="B221" t="s">
        <v>516</v>
      </c>
      <c r="C221" t="str">
        <f t="shared" si="3"/>
        <v>Richard Quinn</v>
      </c>
      <c r="D221" t="s">
        <v>45</v>
      </c>
      <c r="E221">
        <v>37</v>
      </c>
      <c r="F221" t="s">
        <v>123</v>
      </c>
      <c r="G221" t="s">
        <v>21</v>
      </c>
      <c r="H221" t="s">
        <v>69</v>
      </c>
      <c r="I221">
        <v>2</v>
      </c>
      <c r="J221" s="2">
        <v>30</v>
      </c>
      <c r="K221">
        <v>2.2999999999999998</v>
      </c>
      <c r="L221" t="s">
        <v>64</v>
      </c>
    </row>
    <row r="222" spans="1:13" x14ac:dyDescent="0.3">
      <c r="A222" t="s">
        <v>517</v>
      </c>
      <c r="B222" t="s">
        <v>518</v>
      </c>
      <c r="C222" t="str">
        <f t="shared" si="3"/>
        <v>Jennifer Gonzalez</v>
      </c>
      <c r="D222" t="s">
        <v>19</v>
      </c>
      <c r="E222">
        <v>21</v>
      </c>
      <c r="F222" t="s">
        <v>169</v>
      </c>
      <c r="G222" t="s">
        <v>170</v>
      </c>
      <c r="H222" t="s">
        <v>74</v>
      </c>
      <c r="I222">
        <v>2</v>
      </c>
      <c r="J222">
        <v>100</v>
      </c>
      <c r="K222">
        <v>2.4</v>
      </c>
      <c r="L222" t="s">
        <v>70</v>
      </c>
    </row>
    <row r="223" spans="1:13" x14ac:dyDescent="0.3">
      <c r="A223" t="s">
        <v>519</v>
      </c>
      <c r="B223" t="s">
        <v>520</v>
      </c>
      <c r="C223" t="str">
        <f t="shared" si="3"/>
        <v>James Skinner</v>
      </c>
      <c r="D223" t="s">
        <v>58</v>
      </c>
      <c r="E223">
        <v>41</v>
      </c>
      <c r="F223" t="s">
        <v>108</v>
      </c>
      <c r="G223" t="s">
        <v>109</v>
      </c>
      <c r="H223" t="s">
        <v>110</v>
      </c>
      <c r="I223">
        <v>4</v>
      </c>
      <c r="J223">
        <v>75</v>
      </c>
      <c r="K223">
        <v>2.6</v>
      </c>
      <c r="M223" s="1">
        <v>0.85</v>
      </c>
    </row>
    <row r="224" spans="1:13" x14ac:dyDescent="0.3">
      <c r="A224" t="s">
        <v>521</v>
      </c>
      <c r="B224" t="s">
        <v>522</v>
      </c>
      <c r="C224" t="str">
        <f t="shared" si="3"/>
        <v>Michelle Hill</v>
      </c>
      <c r="D224" t="s">
        <v>13</v>
      </c>
      <c r="E224">
        <v>21</v>
      </c>
      <c r="F224" t="s">
        <v>123</v>
      </c>
      <c r="G224" t="s">
        <v>21</v>
      </c>
      <c r="H224" t="s">
        <v>42</v>
      </c>
      <c r="I224">
        <v>0</v>
      </c>
      <c r="J224" t="s">
        <v>52</v>
      </c>
      <c r="K224">
        <v>1.1000000000000001</v>
      </c>
      <c r="L224">
        <v>0</v>
      </c>
      <c r="M224" s="1">
        <v>0.79</v>
      </c>
    </row>
    <row r="225" spans="1:13" x14ac:dyDescent="0.3">
      <c r="A225" t="s">
        <v>523</v>
      </c>
      <c r="B225" t="s">
        <v>524</v>
      </c>
      <c r="C225" t="str">
        <f t="shared" si="3"/>
        <v>Jacqueline Williams</v>
      </c>
      <c r="D225" t="s">
        <v>33</v>
      </c>
      <c r="E225">
        <v>58</v>
      </c>
      <c r="F225" t="s">
        <v>169</v>
      </c>
      <c r="G225" t="s">
        <v>170</v>
      </c>
      <c r="H225" t="s">
        <v>110</v>
      </c>
      <c r="I225">
        <v>9</v>
      </c>
      <c r="J225">
        <v>30</v>
      </c>
      <c r="K225">
        <v>0</v>
      </c>
      <c r="L225">
        <v>1</v>
      </c>
      <c r="M225" s="1">
        <v>0.65</v>
      </c>
    </row>
    <row r="226" spans="1:13" x14ac:dyDescent="0.3">
      <c r="A226" t="s">
        <v>525</v>
      </c>
      <c r="B226" t="s">
        <v>526</v>
      </c>
      <c r="C226" t="str">
        <f t="shared" si="3"/>
        <v>Darrell Johnson</v>
      </c>
      <c r="D226" t="s">
        <v>93</v>
      </c>
      <c r="E226">
        <v>60</v>
      </c>
      <c r="F226" t="s">
        <v>123</v>
      </c>
      <c r="G226" t="s">
        <v>21</v>
      </c>
      <c r="H226" t="s">
        <v>110</v>
      </c>
      <c r="I226">
        <v>3</v>
      </c>
      <c r="J226">
        <v>40</v>
      </c>
      <c r="K226">
        <v>4.7</v>
      </c>
      <c r="L226" t="b">
        <v>0</v>
      </c>
      <c r="M226" s="1">
        <v>0.63</v>
      </c>
    </row>
    <row r="227" spans="1:13" x14ac:dyDescent="0.3">
      <c r="A227" t="s">
        <v>527</v>
      </c>
      <c r="B227" t="s">
        <v>528</v>
      </c>
      <c r="C227" t="str">
        <f t="shared" si="3"/>
        <v>Ryan Crawford</v>
      </c>
      <c r="D227" t="s">
        <v>88</v>
      </c>
      <c r="E227">
        <v>27</v>
      </c>
      <c r="F227" t="s">
        <v>148</v>
      </c>
      <c r="G227" t="s">
        <v>149</v>
      </c>
      <c r="H227" t="s">
        <v>34</v>
      </c>
      <c r="I227">
        <v>2</v>
      </c>
      <c r="J227" s="2">
        <v>40</v>
      </c>
      <c r="K227">
        <v>1.2</v>
      </c>
      <c r="L227" t="b">
        <v>0</v>
      </c>
    </row>
    <row r="228" spans="1:13" x14ac:dyDescent="0.3">
      <c r="A228" t="s">
        <v>529</v>
      </c>
      <c r="B228" t="s">
        <v>530</v>
      </c>
      <c r="C228" t="str">
        <f t="shared" si="3"/>
        <v>Chelsea Barber</v>
      </c>
      <c r="D228" t="s">
        <v>13</v>
      </c>
      <c r="E228">
        <v>29</v>
      </c>
      <c r="F228" t="s">
        <v>27</v>
      </c>
      <c r="G228" t="s">
        <v>28</v>
      </c>
      <c r="H228" t="s">
        <v>110</v>
      </c>
      <c r="I228">
        <v>10</v>
      </c>
      <c r="J228" t="s">
        <v>52</v>
      </c>
      <c r="K228">
        <v>1.2</v>
      </c>
      <c r="L228" t="b">
        <v>0</v>
      </c>
      <c r="M228" s="1">
        <v>0.78</v>
      </c>
    </row>
    <row r="229" spans="1:13" x14ac:dyDescent="0.3">
      <c r="A229" t="s">
        <v>531</v>
      </c>
      <c r="B229" t="s">
        <v>532</v>
      </c>
      <c r="C229" t="str">
        <f t="shared" si="3"/>
        <v>Elaine Martinez</v>
      </c>
      <c r="D229" t="s">
        <v>73</v>
      </c>
      <c r="E229">
        <v>54</v>
      </c>
      <c r="F229" t="s">
        <v>123</v>
      </c>
      <c r="G229" t="s">
        <v>21</v>
      </c>
      <c r="H229" t="s">
        <v>29</v>
      </c>
      <c r="I229">
        <v>33</v>
      </c>
      <c r="J229" s="2">
        <v>75</v>
      </c>
      <c r="K229">
        <v>0</v>
      </c>
      <c r="L229">
        <v>1</v>
      </c>
      <c r="M229" s="1">
        <v>0.62</v>
      </c>
    </row>
    <row r="230" spans="1:13" x14ac:dyDescent="0.3">
      <c r="A230" t="s">
        <v>533</v>
      </c>
      <c r="B230" t="s">
        <v>534</v>
      </c>
      <c r="C230" t="str">
        <f t="shared" si="3"/>
        <v>Joseph Kent</v>
      </c>
      <c r="D230" t="s">
        <v>88</v>
      </c>
      <c r="E230">
        <v>52</v>
      </c>
      <c r="F230" t="s">
        <v>173</v>
      </c>
      <c r="G230" t="s">
        <v>68</v>
      </c>
      <c r="H230" t="s">
        <v>110</v>
      </c>
      <c r="I230">
        <v>12</v>
      </c>
      <c r="J230">
        <v>40</v>
      </c>
      <c r="K230">
        <v>1.2</v>
      </c>
      <c r="L230">
        <v>0</v>
      </c>
      <c r="M230" s="1">
        <v>0.76</v>
      </c>
    </row>
    <row r="231" spans="1:13" x14ac:dyDescent="0.3">
      <c r="A231" t="s">
        <v>535</v>
      </c>
      <c r="B231" t="s">
        <v>536</v>
      </c>
      <c r="C231" t="str">
        <f t="shared" si="3"/>
        <v>Megan Welch</v>
      </c>
      <c r="D231" t="s">
        <v>19</v>
      </c>
      <c r="E231">
        <v>55</v>
      </c>
      <c r="F231" t="s">
        <v>46</v>
      </c>
      <c r="G231" t="s">
        <v>47</v>
      </c>
      <c r="H231" t="s">
        <v>16</v>
      </c>
      <c r="I231">
        <v>18</v>
      </c>
      <c r="J231">
        <v>100</v>
      </c>
      <c r="K231">
        <v>2.9</v>
      </c>
      <c r="L231">
        <v>0</v>
      </c>
      <c r="M231">
        <v>97</v>
      </c>
    </row>
    <row r="232" spans="1:13" x14ac:dyDescent="0.3">
      <c r="A232" t="s">
        <v>537</v>
      </c>
      <c r="B232" t="s">
        <v>538</v>
      </c>
      <c r="C232" t="str">
        <f t="shared" si="3"/>
        <v>Stephen Ramirez</v>
      </c>
      <c r="D232" t="s">
        <v>26</v>
      </c>
      <c r="E232">
        <v>37</v>
      </c>
      <c r="F232" t="s">
        <v>103</v>
      </c>
      <c r="G232" t="s">
        <v>104</v>
      </c>
      <c r="H232" t="s">
        <v>16</v>
      </c>
      <c r="I232">
        <v>4</v>
      </c>
      <c r="L232" t="s">
        <v>30</v>
      </c>
    </row>
    <row r="233" spans="1:13" x14ac:dyDescent="0.3">
      <c r="A233" t="s">
        <v>539</v>
      </c>
      <c r="B233" t="s">
        <v>540</v>
      </c>
      <c r="C233" t="str">
        <f t="shared" si="3"/>
        <v>Chloe Gray</v>
      </c>
      <c r="D233" t="s">
        <v>13</v>
      </c>
      <c r="E233">
        <v>34</v>
      </c>
      <c r="F233" t="s">
        <v>134</v>
      </c>
      <c r="G233" t="s">
        <v>135</v>
      </c>
      <c r="H233" t="s">
        <v>48</v>
      </c>
      <c r="I233">
        <v>11</v>
      </c>
      <c r="J233" s="2">
        <v>50</v>
      </c>
      <c r="K233">
        <v>3.9</v>
      </c>
      <c r="L233">
        <v>1</v>
      </c>
      <c r="M233" s="1">
        <v>0.82</v>
      </c>
    </row>
    <row r="234" spans="1:13" x14ac:dyDescent="0.3">
      <c r="A234" t="s">
        <v>541</v>
      </c>
      <c r="B234" t="s">
        <v>542</v>
      </c>
      <c r="C234" t="str">
        <f t="shared" si="3"/>
        <v>Michael Williams Jr.</v>
      </c>
      <c r="D234" t="s">
        <v>45</v>
      </c>
      <c r="E234">
        <v>20</v>
      </c>
      <c r="F234" t="s">
        <v>130</v>
      </c>
      <c r="G234" t="s">
        <v>131</v>
      </c>
      <c r="H234" t="s">
        <v>48</v>
      </c>
      <c r="I234">
        <v>1</v>
      </c>
      <c r="J234">
        <v>50</v>
      </c>
      <c r="K234">
        <v>3.1</v>
      </c>
      <c r="M234" s="1">
        <v>0.71</v>
      </c>
    </row>
    <row r="235" spans="1:13" x14ac:dyDescent="0.3">
      <c r="A235" t="s">
        <v>543</v>
      </c>
      <c r="B235" t="s">
        <v>544</v>
      </c>
      <c r="C235" t="str">
        <f t="shared" si="3"/>
        <v>Matthew Martin</v>
      </c>
      <c r="D235" t="s">
        <v>45</v>
      </c>
      <c r="E235">
        <v>22</v>
      </c>
      <c r="F235" t="s">
        <v>173</v>
      </c>
      <c r="G235" t="s">
        <v>68</v>
      </c>
      <c r="H235" t="s">
        <v>69</v>
      </c>
      <c r="I235">
        <v>2</v>
      </c>
      <c r="K235">
        <v>0</v>
      </c>
      <c r="L235">
        <v>1</v>
      </c>
    </row>
    <row r="236" spans="1:13" x14ac:dyDescent="0.3">
      <c r="A236" t="s">
        <v>545</v>
      </c>
      <c r="B236" t="s">
        <v>546</v>
      </c>
      <c r="C236" t="str">
        <f t="shared" si="3"/>
        <v>Julia Murphy</v>
      </c>
      <c r="D236" t="s">
        <v>13</v>
      </c>
      <c r="E236">
        <v>23</v>
      </c>
      <c r="F236" t="s">
        <v>108</v>
      </c>
      <c r="G236" t="s">
        <v>109</v>
      </c>
      <c r="H236" t="s">
        <v>29</v>
      </c>
      <c r="I236">
        <v>2</v>
      </c>
      <c r="J236">
        <v>50</v>
      </c>
      <c r="K236">
        <v>3.2</v>
      </c>
      <c r="L236" t="b">
        <v>1</v>
      </c>
    </row>
    <row r="237" spans="1:13" x14ac:dyDescent="0.3">
      <c r="A237" t="s">
        <v>547</v>
      </c>
      <c r="B237" t="s">
        <v>548</v>
      </c>
      <c r="C237" t="str">
        <f t="shared" si="3"/>
        <v>Anna Evans</v>
      </c>
      <c r="D237" t="s">
        <v>33</v>
      </c>
      <c r="E237">
        <v>53</v>
      </c>
      <c r="F237" t="s">
        <v>108</v>
      </c>
      <c r="G237" t="s">
        <v>109</v>
      </c>
      <c r="H237" t="s">
        <v>16</v>
      </c>
      <c r="I237">
        <v>34</v>
      </c>
      <c r="J237">
        <v>30</v>
      </c>
      <c r="L237" t="s">
        <v>70</v>
      </c>
    </row>
    <row r="238" spans="1:13" x14ac:dyDescent="0.3">
      <c r="A238" t="s">
        <v>549</v>
      </c>
      <c r="B238" t="s">
        <v>550</v>
      </c>
      <c r="C238" t="str">
        <f t="shared" si="3"/>
        <v>Brenda Fleming</v>
      </c>
      <c r="D238" t="s">
        <v>33</v>
      </c>
      <c r="E238">
        <v>56</v>
      </c>
      <c r="F238" t="s">
        <v>108</v>
      </c>
      <c r="G238" t="s">
        <v>109</v>
      </c>
      <c r="H238" t="s">
        <v>29</v>
      </c>
      <c r="I238">
        <v>27</v>
      </c>
      <c r="J238">
        <v>100</v>
      </c>
      <c r="K238">
        <v>4.7</v>
      </c>
      <c r="L238" t="b">
        <v>1</v>
      </c>
      <c r="M238" s="1">
        <v>0.69</v>
      </c>
    </row>
    <row r="239" spans="1:13" x14ac:dyDescent="0.3">
      <c r="A239" t="s">
        <v>551</v>
      </c>
      <c r="B239" t="s">
        <v>552</v>
      </c>
      <c r="C239" t="str">
        <f t="shared" si="3"/>
        <v>Daniel Harrington</v>
      </c>
      <c r="D239" t="s">
        <v>88</v>
      </c>
      <c r="E239">
        <v>27</v>
      </c>
      <c r="F239" t="s">
        <v>123</v>
      </c>
      <c r="G239" t="s">
        <v>21</v>
      </c>
      <c r="H239" t="s">
        <v>42</v>
      </c>
      <c r="I239">
        <v>4</v>
      </c>
      <c r="J239">
        <v>75</v>
      </c>
      <c r="K239">
        <v>5</v>
      </c>
      <c r="L239">
        <v>0</v>
      </c>
      <c r="M239" s="1">
        <v>0.88</v>
      </c>
    </row>
    <row r="240" spans="1:13" x14ac:dyDescent="0.3">
      <c r="A240" t="s">
        <v>553</v>
      </c>
      <c r="B240" t="s">
        <v>554</v>
      </c>
      <c r="C240" t="str">
        <f t="shared" si="3"/>
        <v>Daniel Barnett</v>
      </c>
      <c r="D240" t="s">
        <v>93</v>
      </c>
      <c r="E240">
        <v>34</v>
      </c>
      <c r="F240" t="s">
        <v>14</v>
      </c>
      <c r="G240" t="s">
        <v>15</v>
      </c>
      <c r="H240" t="s">
        <v>22</v>
      </c>
      <c r="I240">
        <v>11</v>
      </c>
      <c r="J240" t="s">
        <v>52</v>
      </c>
      <c r="L240" t="b">
        <v>0</v>
      </c>
      <c r="M240" s="1">
        <v>0.67</v>
      </c>
    </row>
    <row r="241" spans="1:13" x14ac:dyDescent="0.3">
      <c r="A241" t="s">
        <v>555</v>
      </c>
      <c r="B241" t="s">
        <v>556</v>
      </c>
      <c r="C241" t="str">
        <f t="shared" ref="C241:C274" si="4">B241</f>
        <v>Mark Cummings</v>
      </c>
      <c r="D241" t="s">
        <v>88</v>
      </c>
      <c r="E241">
        <v>29</v>
      </c>
      <c r="F241" t="s">
        <v>55</v>
      </c>
      <c r="G241" t="s">
        <v>21</v>
      </c>
      <c r="H241" t="s">
        <v>34</v>
      </c>
      <c r="I241">
        <v>4</v>
      </c>
      <c r="J241" t="s">
        <v>94</v>
      </c>
      <c r="K241">
        <v>4</v>
      </c>
      <c r="L241">
        <v>0</v>
      </c>
    </row>
    <row r="242" spans="1:13" x14ac:dyDescent="0.3">
      <c r="A242" t="s">
        <v>557</v>
      </c>
      <c r="B242" t="s">
        <v>558</v>
      </c>
      <c r="C242" t="str">
        <f t="shared" si="4"/>
        <v>Christopher Guerra</v>
      </c>
      <c r="D242" t="s">
        <v>88</v>
      </c>
      <c r="E242">
        <v>34</v>
      </c>
      <c r="F242" t="s">
        <v>89</v>
      </c>
      <c r="G242" t="s">
        <v>90</v>
      </c>
      <c r="H242" t="s">
        <v>42</v>
      </c>
      <c r="I242">
        <v>11</v>
      </c>
      <c r="K242">
        <v>1.2</v>
      </c>
      <c r="L242">
        <v>1</v>
      </c>
    </row>
    <row r="243" spans="1:13" x14ac:dyDescent="0.3">
      <c r="A243" t="s">
        <v>559</v>
      </c>
      <c r="B243" t="s">
        <v>560</v>
      </c>
      <c r="C243" t="str">
        <f t="shared" si="4"/>
        <v>Sarah Ho</v>
      </c>
      <c r="D243" t="s">
        <v>37</v>
      </c>
      <c r="E243">
        <v>32</v>
      </c>
      <c r="F243" t="s">
        <v>173</v>
      </c>
      <c r="G243" t="s">
        <v>68</v>
      </c>
      <c r="H243" t="s">
        <v>42</v>
      </c>
      <c r="I243">
        <v>1</v>
      </c>
      <c r="J243">
        <v>100</v>
      </c>
      <c r="K243">
        <v>4.7</v>
      </c>
      <c r="L243">
        <v>0</v>
      </c>
      <c r="M243" s="1">
        <v>0.67</v>
      </c>
    </row>
    <row r="244" spans="1:13" x14ac:dyDescent="0.3">
      <c r="A244" t="s">
        <v>561</v>
      </c>
      <c r="B244" t="s">
        <v>562</v>
      </c>
      <c r="C244" t="str">
        <f t="shared" si="4"/>
        <v>Veronica Thomas</v>
      </c>
      <c r="D244" t="s">
        <v>13</v>
      </c>
      <c r="E244">
        <v>21</v>
      </c>
      <c r="F244" t="s">
        <v>148</v>
      </c>
      <c r="G244" t="s">
        <v>149</v>
      </c>
      <c r="H244" t="s">
        <v>110</v>
      </c>
      <c r="I244">
        <v>2</v>
      </c>
      <c r="J244">
        <v>20</v>
      </c>
      <c r="K244">
        <v>2.4</v>
      </c>
      <c r="M244" s="1">
        <v>0.86</v>
      </c>
    </row>
    <row r="245" spans="1:13" x14ac:dyDescent="0.3">
      <c r="A245" t="s">
        <v>563</v>
      </c>
      <c r="B245" t="s">
        <v>564</v>
      </c>
      <c r="C245" t="str">
        <f t="shared" si="4"/>
        <v>Mitchell Watson</v>
      </c>
      <c r="D245" t="s">
        <v>58</v>
      </c>
      <c r="E245">
        <v>20</v>
      </c>
      <c r="F245" t="s">
        <v>173</v>
      </c>
      <c r="G245" t="s">
        <v>68</v>
      </c>
      <c r="H245" t="s">
        <v>29</v>
      </c>
      <c r="I245">
        <v>2</v>
      </c>
      <c r="K245">
        <v>1.1000000000000001</v>
      </c>
      <c r="L245" t="b">
        <v>0</v>
      </c>
      <c r="M245" s="1">
        <v>0.69</v>
      </c>
    </row>
    <row r="246" spans="1:13" x14ac:dyDescent="0.3">
      <c r="A246" t="s">
        <v>565</v>
      </c>
      <c r="B246" t="s">
        <v>566</v>
      </c>
      <c r="C246" t="str">
        <f t="shared" si="4"/>
        <v>Monica Murphy</v>
      </c>
      <c r="D246" t="s">
        <v>19</v>
      </c>
      <c r="E246">
        <v>35</v>
      </c>
      <c r="F246" t="s">
        <v>55</v>
      </c>
      <c r="G246" t="s">
        <v>21</v>
      </c>
      <c r="H246" t="s">
        <v>22</v>
      </c>
      <c r="I246">
        <v>10</v>
      </c>
      <c r="J246">
        <v>50</v>
      </c>
      <c r="K246">
        <v>1.4</v>
      </c>
      <c r="L246" t="b">
        <v>1</v>
      </c>
      <c r="M246" s="1">
        <v>0.85</v>
      </c>
    </row>
    <row r="247" spans="1:13" x14ac:dyDescent="0.3">
      <c r="A247" t="s">
        <v>567</v>
      </c>
      <c r="B247" t="s">
        <v>568</v>
      </c>
      <c r="C247" t="str">
        <f t="shared" si="4"/>
        <v>Kristen Williams</v>
      </c>
      <c r="D247" t="s">
        <v>13</v>
      </c>
      <c r="E247">
        <v>47</v>
      </c>
      <c r="F247" t="s">
        <v>55</v>
      </c>
      <c r="G247" t="s">
        <v>21</v>
      </c>
      <c r="H247" t="s">
        <v>69</v>
      </c>
      <c r="I247">
        <v>18</v>
      </c>
      <c r="J247">
        <v>40</v>
      </c>
      <c r="K247">
        <v>3.4</v>
      </c>
      <c r="L247">
        <v>0</v>
      </c>
      <c r="M247">
        <v>60</v>
      </c>
    </row>
    <row r="248" spans="1:13" x14ac:dyDescent="0.3">
      <c r="A248" t="s">
        <v>569</v>
      </c>
      <c r="B248" t="s">
        <v>570</v>
      </c>
      <c r="C248" t="str">
        <f t="shared" si="4"/>
        <v>Nicole Wright</v>
      </c>
      <c r="D248" t="s">
        <v>13</v>
      </c>
      <c r="E248">
        <v>41</v>
      </c>
      <c r="F248" t="s">
        <v>59</v>
      </c>
      <c r="G248" t="s">
        <v>60</v>
      </c>
      <c r="H248" t="s">
        <v>16</v>
      </c>
      <c r="I248">
        <v>4</v>
      </c>
      <c r="J248">
        <v>40</v>
      </c>
      <c r="K248">
        <v>2.7</v>
      </c>
      <c r="L248">
        <v>1</v>
      </c>
      <c r="M248">
        <v>70</v>
      </c>
    </row>
    <row r="249" spans="1:13" x14ac:dyDescent="0.3">
      <c r="A249" t="s">
        <v>571</v>
      </c>
      <c r="B249" t="s">
        <v>572</v>
      </c>
      <c r="C249" t="str">
        <f t="shared" si="4"/>
        <v>Andrew Ruiz</v>
      </c>
      <c r="D249" t="s">
        <v>26</v>
      </c>
      <c r="E249">
        <v>58</v>
      </c>
      <c r="F249" t="s">
        <v>67</v>
      </c>
      <c r="G249" t="s">
        <v>68</v>
      </c>
      <c r="H249" t="s">
        <v>34</v>
      </c>
      <c r="I249">
        <v>23</v>
      </c>
      <c r="K249">
        <v>4.9000000000000004</v>
      </c>
      <c r="L249" t="b">
        <v>0</v>
      </c>
    </row>
    <row r="250" spans="1:13" x14ac:dyDescent="0.3">
      <c r="A250" t="s">
        <v>573</v>
      </c>
      <c r="B250" t="s">
        <v>574</v>
      </c>
      <c r="C250" t="str">
        <f t="shared" si="4"/>
        <v>Zachary Jackson</v>
      </c>
      <c r="D250" t="s">
        <v>45</v>
      </c>
      <c r="E250">
        <v>34</v>
      </c>
      <c r="F250" t="s">
        <v>169</v>
      </c>
      <c r="G250" t="s">
        <v>170</v>
      </c>
      <c r="H250" t="s">
        <v>48</v>
      </c>
      <c r="I250">
        <v>6</v>
      </c>
      <c r="J250">
        <v>75</v>
      </c>
      <c r="K250">
        <v>1.9</v>
      </c>
      <c r="L250">
        <v>1</v>
      </c>
      <c r="M250" s="1">
        <v>0.81</v>
      </c>
    </row>
    <row r="251" spans="1:13" x14ac:dyDescent="0.3">
      <c r="A251" t="s">
        <v>575</v>
      </c>
      <c r="B251" t="s">
        <v>576</v>
      </c>
      <c r="C251" t="str">
        <f t="shared" si="4"/>
        <v>Stephanie Carter</v>
      </c>
      <c r="D251" t="s">
        <v>13</v>
      </c>
      <c r="E251">
        <v>50</v>
      </c>
      <c r="F251" t="s">
        <v>89</v>
      </c>
      <c r="G251" t="s">
        <v>90</v>
      </c>
      <c r="H251" t="s">
        <v>22</v>
      </c>
      <c r="I251">
        <v>5</v>
      </c>
      <c r="J251">
        <v>100</v>
      </c>
      <c r="L251">
        <v>1</v>
      </c>
    </row>
    <row r="252" spans="1:13" x14ac:dyDescent="0.3">
      <c r="A252" t="s">
        <v>577</v>
      </c>
      <c r="B252" t="s">
        <v>578</v>
      </c>
      <c r="C252" t="str">
        <f t="shared" si="4"/>
        <v>Amy Olson</v>
      </c>
      <c r="D252" t="s">
        <v>13</v>
      </c>
      <c r="E252">
        <v>42</v>
      </c>
      <c r="F252" t="s">
        <v>173</v>
      </c>
      <c r="G252" t="s">
        <v>68</v>
      </c>
      <c r="H252" t="s">
        <v>85</v>
      </c>
      <c r="I252">
        <v>19</v>
      </c>
      <c r="J252" t="s">
        <v>49</v>
      </c>
      <c r="K252">
        <v>4.5999999999999996</v>
      </c>
      <c r="L252">
        <v>0</v>
      </c>
      <c r="M252" s="1">
        <v>0.78</v>
      </c>
    </row>
    <row r="253" spans="1:13" x14ac:dyDescent="0.3">
      <c r="A253" t="s">
        <v>579</v>
      </c>
      <c r="B253" t="s">
        <v>580</v>
      </c>
      <c r="C253" t="str">
        <f t="shared" si="4"/>
        <v>Fred Stark</v>
      </c>
      <c r="D253" t="s">
        <v>88</v>
      </c>
      <c r="E253">
        <v>43</v>
      </c>
      <c r="F253" t="s">
        <v>27</v>
      </c>
      <c r="G253" t="s">
        <v>28</v>
      </c>
      <c r="H253" t="s">
        <v>69</v>
      </c>
      <c r="I253">
        <v>6</v>
      </c>
      <c r="J253">
        <v>50</v>
      </c>
      <c r="K253">
        <v>0</v>
      </c>
      <c r="L253">
        <v>0</v>
      </c>
      <c r="M253">
        <v>81</v>
      </c>
    </row>
    <row r="254" spans="1:13" x14ac:dyDescent="0.3">
      <c r="A254" t="s">
        <v>581</v>
      </c>
      <c r="B254" t="s">
        <v>582</v>
      </c>
      <c r="C254" t="str">
        <f t="shared" si="4"/>
        <v>Jacob Gill</v>
      </c>
      <c r="D254" t="s">
        <v>93</v>
      </c>
      <c r="E254">
        <v>34</v>
      </c>
      <c r="F254" t="s">
        <v>27</v>
      </c>
      <c r="G254" t="s">
        <v>28</v>
      </c>
      <c r="H254" t="s">
        <v>48</v>
      </c>
      <c r="I254">
        <v>8</v>
      </c>
      <c r="J254">
        <v>75</v>
      </c>
      <c r="K254">
        <v>1.8</v>
      </c>
      <c r="L254">
        <v>1</v>
      </c>
      <c r="M254" s="1">
        <v>0.71</v>
      </c>
    </row>
    <row r="255" spans="1:13" x14ac:dyDescent="0.3">
      <c r="A255" t="s">
        <v>583</v>
      </c>
      <c r="B255" t="s">
        <v>584</v>
      </c>
      <c r="C255" t="str">
        <f t="shared" si="4"/>
        <v>Anthony Nichols</v>
      </c>
      <c r="D255" t="s">
        <v>93</v>
      </c>
      <c r="E255">
        <v>24</v>
      </c>
      <c r="F255" t="s">
        <v>184</v>
      </c>
      <c r="G255" t="s">
        <v>68</v>
      </c>
      <c r="H255" t="s">
        <v>22</v>
      </c>
      <c r="I255">
        <v>3</v>
      </c>
      <c r="J255">
        <v>75</v>
      </c>
      <c r="K255">
        <v>2</v>
      </c>
      <c r="L255" t="b">
        <v>0</v>
      </c>
    </row>
    <row r="256" spans="1:13" x14ac:dyDescent="0.3">
      <c r="A256" t="s">
        <v>585</v>
      </c>
      <c r="B256" t="s">
        <v>586</v>
      </c>
      <c r="C256" t="str">
        <f t="shared" si="4"/>
        <v>William Knapp</v>
      </c>
      <c r="D256" t="s">
        <v>45</v>
      </c>
      <c r="E256">
        <v>48</v>
      </c>
      <c r="F256" t="s">
        <v>148</v>
      </c>
      <c r="G256" t="s">
        <v>149</v>
      </c>
      <c r="H256" t="s">
        <v>69</v>
      </c>
      <c r="I256">
        <v>8</v>
      </c>
      <c r="J256">
        <v>30</v>
      </c>
      <c r="K256">
        <v>5</v>
      </c>
      <c r="L256">
        <v>1</v>
      </c>
      <c r="M256" s="1">
        <v>0.99</v>
      </c>
    </row>
    <row r="257" spans="1:13" x14ac:dyDescent="0.3">
      <c r="A257" t="s">
        <v>587</v>
      </c>
      <c r="B257" t="s">
        <v>588</v>
      </c>
      <c r="C257" t="str">
        <f t="shared" si="4"/>
        <v>Elizabeth Walker</v>
      </c>
      <c r="D257" t="s">
        <v>33</v>
      </c>
      <c r="E257">
        <v>39</v>
      </c>
      <c r="F257" t="s">
        <v>108</v>
      </c>
      <c r="G257" t="s">
        <v>109</v>
      </c>
      <c r="H257" t="s">
        <v>48</v>
      </c>
      <c r="I257">
        <v>12</v>
      </c>
      <c r="J257" s="2">
        <v>20</v>
      </c>
      <c r="K257">
        <v>3.2</v>
      </c>
      <c r="L257" t="b">
        <v>1</v>
      </c>
      <c r="M257" s="1">
        <v>0.66</v>
      </c>
    </row>
    <row r="258" spans="1:13" x14ac:dyDescent="0.3">
      <c r="A258" t="s">
        <v>589</v>
      </c>
      <c r="B258" t="s">
        <v>590</v>
      </c>
      <c r="C258" t="str">
        <f t="shared" si="4"/>
        <v>Brenda Reeves</v>
      </c>
      <c r="D258" t="s">
        <v>33</v>
      </c>
      <c r="E258">
        <v>57</v>
      </c>
      <c r="F258" t="s">
        <v>20</v>
      </c>
      <c r="G258" t="s">
        <v>21</v>
      </c>
      <c r="H258" t="s">
        <v>16</v>
      </c>
      <c r="I258">
        <v>30</v>
      </c>
      <c r="J258" s="2">
        <v>30</v>
      </c>
      <c r="K258">
        <v>2.4</v>
      </c>
      <c r="M258" s="1">
        <v>0.8</v>
      </c>
    </row>
    <row r="259" spans="1:13" x14ac:dyDescent="0.3">
      <c r="A259" t="s">
        <v>591</v>
      </c>
      <c r="B259" t="s">
        <v>592</v>
      </c>
      <c r="C259" t="str">
        <f t="shared" si="4"/>
        <v>Carrie Little</v>
      </c>
      <c r="D259" t="s">
        <v>19</v>
      </c>
      <c r="E259">
        <v>44</v>
      </c>
      <c r="F259" t="s">
        <v>123</v>
      </c>
      <c r="G259" t="s">
        <v>21</v>
      </c>
      <c r="H259" t="s">
        <v>34</v>
      </c>
      <c r="I259">
        <v>21</v>
      </c>
      <c r="J259">
        <v>100</v>
      </c>
      <c r="K259">
        <v>2.9</v>
      </c>
      <c r="L259">
        <v>0</v>
      </c>
      <c r="M259" s="1">
        <v>0.83</v>
      </c>
    </row>
    <row r="260" spans="1:13" x14ac:dyDescent="0.3">
      <c r="A260" t="s">
        <v>593</v>
      </c>
      <c r="B260" t="s">
        <v>594</v>
      </c>
      <c r="C260" t="str">
        <f t="shared" si="4"/>
        <v>Steven Jackson</v>
      </c>
      <c r="D260" t="s">
        <v>26</v>
      </c>
      <c r="E260">
        <v>37</v>
      </c>
      <c r="F260" t="s">
        <v>103</v>
      </c>
      <c r="G260" t="s">
        <v>104</v>
      </c>
      <c r="H260" t="s">
        <v>69</v>
      </c>
      <c r="I260">
        <v>17</v>
      </c>
      <c r="J260" t="s">
        <v>307</v>
      </c>
      <c r="K260">
        <v>0</v>
      </c>
      <c r="L260" t="s">
        <v>64</v>
      </c>
      <c r="M260">
        <v>87</v>
      </c>
    </row>
    <row r="261" spans="1:13" x14ac:dyDescent="0.3">
      <c r="A261" t="s">
        <v>595</v>
      </c>
      <c r="B261" t="s">
        <v>596</v>
      </c>
      <c r="C261" t="str">
        <f t="shared" si="4"/>
        <v>Mark Perry</v>
      </c>
      <c r="D261" t="s">
        <v>93</v>
      </c>
      <c r="E261">
        <v>50</v>
      </c>
      <c r="F261" t="s">
        <v>59</v>
      </c>
      <c r="G261" t="s">
        <v>60</v>
      </c>
      <c r="H261" t="s">
        <v>48</v>
      </c>
      <c r="I261">
        <v>9</v>
      </c>
      <c r="J261">
        <v>30</v>
      </c>
      <c r="K261">
        <v>3</v>
      </c>
      <c r="L261">
        <v>0</v>
      </c>
      <c r="M261">
        <v>76</v>
      </c>
    </row>
    <row r="262" spans="1:13" x14ac:dyDescent="0.3">
      <c r="A262" t="s">
        <v>597</v>
      </c>
      <c r="B262" t="s">
        <v>598</v>
      </c>
      <c r="C262" t="str">
        <f t="shared" si="4"/>
        <v>Cameron Spencer</v>
      </c>
      <c r="D262" t="s">
        <v>93</v>
      </c>
      <c r="E262">
        <v>50</v>
      </c>
      <c r="F262" t="s">
        <v>184</v>
      </c>
      <c r="G262" t="s">
        <v>68</v>
      </c>
      <c r="H262" t="s">
        <v>69</v>
      </c>
      <c r="I262">
        <v>2</v>
      </c>
      <c r="J262">
        <v>50</v>
      </c>
      <c r="K262">
        <v>1.6</v>
      </c>
      <c r="L262" t="s">
        <v>154</v>
      </c>
      <c r="M262" s="1">
        <v>0.89</v>
      </c>
    </row>
    <row r="263" spans="1:13" x14ac:dyDescent="0.3">
      <c r="A263" t="s">
        <v>599</v>
      </c>
      <c r="B263" t="s">
        <v>600</v>
      </c>
      <c r="C263" t="str">
        <f t="shared" si="4"/>
        <v>Jennifer Holmes</v>
      </c>
      <c r="D263" t="s">
        <v>73</v>
      </c>
      <c r="E263">
        <v>28</v>
      </c>
      <c r="F263" t="s">
        <v>130</v>
      </c>
      <c r="G263" t="s">
        <v>131</v>
      </c>
      <c r="H263" t="s">
        <v>29</v>
      </c>
      <c r="I263">
        <v>1</v>
      </c>
      <c r="J263">
        <v>20</v>
      </c>
      <c r="K263">
        <v>3.6</v>
      </c>
      <c r="L263" t="s">
        <v>64</v>
      </c>
      <c r="M263" s="1">
        <v>0.94</v>
      </c>
    </row>
    <row r="264" spans="1:13" x14ac:dyDescent="0.3">
      <c r="A264" t="s">
        <v>601</v>
      </c>
      <c r="B264" t="s">
        <v>602</v>
      </c>
      <c r="C264" t="str">
        <f t="shared" si="4"/>
        <v>Jacob Joseph</v>
      </c>
      <c r="D264" t="s">
        <v>93</v>
      </c>
      <c r="E264">
        <v>48</v>
      </c>
      <c r="F264" t="s">
        <v>14</v>
      </c>
      <c r="G264" t="s">
        <v>15</v>
      </c>
      <c r="H264" t="s">
        <v>34</v>
      </c>
      <c r="I264">
        <v>23</v>
      </c>
      <c r="K264">
        <v>2.1</v>
      </c>
      <c r="L264">
        <v>0</v>
      </c>
      <c r="M264" s="1">
        <v>0.68</v>
      </c>
    </row>
    <row r="265" spans="1:13" x14ac:dyDescent="0.3">
      <c r="A265" t="s">
        <v>603</v>
      </c>
      <c r="B265" t="s">
        <v>604</v>
      </c>
      <c r="C265" t="str">
        <f t="shared" si="4"/>
        <v>Jeffery Tucker</v>
      </c>
      <c r="D265" t="s">
        <v>93</v>
      </c>
      <c r="E265">
        <v>42</v>
      </c>
      <c r="F265" t="s">
        <v>27</v>
      </c>
      <c r="G265" t="s">
        <v>28</v>
      </c>
      <c r="H265" t="s">
        <v>85</v>
      </c>
      <c r="I265">
        <v>8</v>
      </c>
      <c r="J265">
        <v>30</v>
      </c>
      <c r="K265">
        <v>3.6</v>
      </c>
      <c r="L265">
        <v>1</v>
      </c>
      <c r="M265" s="1">
        <v>0.96</v>
      </c>
    </row>
    <row r="266" spans="1:13" x14ac:dyDescent="0.3">
      <c r="A266" t="s">
        <v>605</v>
      </c>
      <c r="B266" t="s">
        <v>606</v>
      </c>
      <c r="C266" t="str">
        <f t="shared" si="4"/>
        <v>Jacqueline Drake</v>
      </c>
      <c r="D266" t="s">
        <v>73</v>
      </c>
      <c r="E266">
        <v>37</v>
      </c>
      <c r="F266" t="s">
        <v>123</v>
      </c>
      <c r="G266" t="s">
        <v>21</v>
      </c>
      <c r="H266" t="s">
        <v>48</v>
      </c>
      <c r="I266">
        <v>6</v>
      </c>
      <c r="J266" s="2">
        <v>20</v>
      </c>
      <c r="K266">
        <v>2.7</v>
      </c>
      <c r="L266" t="b">
        <v>1</v>
      </c>
      <c r="M266" s="1">
        <v>0.91</v>
      </c>
    </row>
    <row r="267" spans="1:13" x14ac:dyDescent="0.3">
      <c r="A267" t="s">
        <v>607</v>
      </c>
      <c r="B267" t="s">
        <v>608</v>
      </c>
      <c r="C267" t="str">
        <f t="shared" si="4"/>
        <v>Brian Bautista</v>
      </c>
      <c r="D267" t="s">
        <v>93</v>
      </c>
      <c r="E267">
        <v>21</v>
      </c>
      <c r="F267" t="s">
        <v>89</v>
      </c>
      <c r="G267" t="s">
        <v>90</v>
      </c>
      <c r="H267" t="s">
        <v>16</v>
      </c>
      <c r="I267">
        <v>1</v>
      </c>
      <c r="J267">
        <v>100</v>
      </c>
      <c r="K267">
        <v>2.1</v>
      </c>
      <c r="L267">
        <v>1</v>
      </c>
      <c r="M267" s="1">
        <v>0.92</v>
      </c>
    </row>
    <row r="268" spans="1:13" x14ac:dyDescent="0.3">
      <c r="A268" t="s">
        <v>609</v>
      </c>
      <c r="B268" t="s">
        <v>610</v>
      </c>
      <c r="C268" t="str">
        <f t="shared" si="4"/>
        <v>Dakota Wells</v>
      </c>
      <c r="D268" t="s">
        <v>58</v>
      </c>
      <c r="E268">
        <v>50</v>
      </c>
      <c r="F268" t="s">
        <v>108</v>
      </c>
      <c r="G268" t="s">
        <v>109</v>
      </c>
      <c r="H268" t="s">
        <v>34</v>
      </c>
      <c r="I268">
        <v>19</v>
      </c>
      <c r="J268" s="2">
        <v>40</v>
      </c>
      <c r="K268">
        <v>4.9000000000000004</v>
      </c>
      <c r="M268" s="1">
        <v>0.82</v>
      </c>
    </row>
    <row r="269" spans="1:13" x14ac:dyDescent="0.3">
      <c r="A269" t="s">
        <v>611</v>
      </c>
      <c r="B269" t="s">
        <v>612</v>
      </c>
      <c r="C269" t="str">
        <f t="shared" si="4"/>
        <v>Julie White</v>
      </c>
      <c r="D269" t="s">
        <v>33</v>
      </c>
      <c r="E269">
        <v>22</v>
      </c>
      <c r="F269" t="s">
        <v>67</v>
      </c>
      <c r="G269" t="s">
        <v>68</v>
      </c>
      <c r="H269" t="s">
        <v>42</v>
      </c>
      <c r="I269">
        <v>2</v>
      </c>
      <c r="J269">
        <v>30</v>
      </c>
      <c r="K269">
        <v>2.1</v>
      </c>
    </row>
    <row r="270" spans="1:13" x14ac:dyDescent="0.3">
      <c r="A270" t="s">
        <v>613</v>
      </c>
      <c r="B270" t="s">
        <v>614</v>
      </c>
      <c r="C270" t="str">
        <f t="shared" si="4"/>
        <v>Barbara Keith</v>
      </c>
      <c r="D270" t="s">
        <v>73</v>
      </c>
      <c r="E270">
        <v>39</v>
      </c>
      <c r="F270" t="s">
        <v>81</v>
      </c>
      <c r="G270" t="s">
        <v>82</v>
      </c>
      <c r="H270" t="s">
        <v>34</v>
      </c>
      <c r="I270">
        <v>21</v>
      </c>
      <c r="J270">
        <v>100</v>
      </c>
      <c r="K270">
        <v>0</v>
      </c>
      <c r="L270" t="s">
        <v>154</v>
      </c>
      <c r="M270" s="1">
        <v>0.91</v>
      </c>
    </row>
    <row r="271" spans="1:13" x14ac:dyDescent="0.3">
      <c r="A271" t="s">
        <v>615</v>
      </c>
      <c r="B271" t="s">
        <v>616</v>
      </c>
      <c r="C271" t="str">
        <f t="shared" si="4"/>
        <v>Heather Camacho</v>
      </c>
      <c r="D271" t="s">
        <v>73</v>
      </c>
      <c r="E271">
        <v>25</v>
      </c>
      <c r="F271" t="s">
        <v>81</v>
      </c>
      <c r="G271" t="s">
        <v>82</v>
      </c>
      <c r="H271" t="s">
        <v>110</v>
      </c>
      <c r="I271">
        <v>3</v>
      </c>
      <c r="J271" s="2">
        <v>50</v>
      </c>
      <c r="K271">
        <v>2.8</v>
      </c>
      <c r="L271" t="s">
        <v>64</v>
      </c>
      <c r="M271">
        <v>86</v>
      </c>
    </row>
    <row r="272" spans="1:13" x14ac:dyDescent="0.3">
      <c r="A272" t="s">
        <v>617</v>
      </c>
      <c r="B272" t="s">
        <v>618</v>
      </c>
      <c r="C272" t="str">
        <f t="shared" si="4"/>
        <v>Melanie Harris</v>
      </c>
      <c r="D272" t="s">
        <v>19</v>
      </c>
      <c r="E272">
        <v>47</v>
      </c>
      <c r="F272" t="s">
        <v>148</v>
      </c>
      <c r="G272" t="s">
        <v>149</v>
      </c>
      <c r="H272" t="s">
        <v>22</v>
      </c>
      <c r="I272">
        <v>14</v>
      </c>
      <c r="L272" t="b">
        <v>0</v>
      </c>
      <c r="M272" s="1">
        <v>0.69</v>
      </c>
    </row>
    <row r="273" spans="1:13" x14ac:dyDescent="0.3">
      <c r="A273" t="s">
        <v>619</v>
      </c>
      <c r="B273" t="s">
        <v>620</v>
      </c>
      <c r="C273" t="str">
        <f t="shared" si="4"/>
        <v>Jacqueline Peterson</v>
      </c>
      <c r="D273" t="s">
        <v>13</v>
      </c>
      <c r="E273">
        <v>35</v>
      </c>
      <c r="F273" t="s">
        <v>148</v>
      </c>
      <c r="G273" t="s">
        <v>149</v>
      </c>
      <c r="H273" t="s">
        <v>69</v>
      </c>
      <c r="I273">
        <v>10</v>
      </c>
      <c r="J273" t="s">
        <v>23</v>
      </c>
      <c r="K273">
        <v>4.7</v>
      </c>
      <c r="L273" t="b">
        <v>1</v>
      </c>
      <c r="M273" s="1">
        <v>0.84</v>
      </c>
    </row>
    <row r="274" spans="1:13" x14ac:dyDescent="0.3">
      <c r="A274" t="s">
        <v>621</v>
      </c>
      <c r="B274" t="s">
        <v>622</v>
      </c>
      <c r="C274" t="str">
        <f t="shared" si="4"/>
        <v>Nancy Long</v>
      </c>
      <c r="D274" t="s">
        <v>13</v>
      </c>
      <c r="F274" t="s">
        <v>63</v>
      </c>
      <c r="G274" t="s">
        <v>21</v>
      </c>
      <c r="H274" t="s">
        <v>74</v>
      </c>
      <c r="I274">
        <v>5</v>
      </c>
      <c r="J274">
        <v>100</v>
      </c>
      <c r="K274">
        <v>1.3</v>
      </c>
      <c r="L274">
        <v>0</v>
      </c>
      <c r="M274" s="1">
        <v>0.6</v>
      </c>
    </row>
    <row r="275" spans="1:13" x14ac:dyDescent="0.3">
      <c r="A275" t="s">
        <v>623</v>
      </c>
      <c r="B275" t="s">
        <v>624</v>
      </c>
      <c r="C275" t="str">
        <f>RIGHT(B275, LEN(B275) - FIND(". ", B275))</f>
        <v xml:space="preserve"> Juan Mitchell</v>
      </c>
      <c r="D275" t="s">
        <v>26</v>
      </c>
      <c r="E275">
        <v>35</v>
      </c>
      <c r="F275" t="s">
        <v>40</v>
      </c>
      <c r="G275" t="s">
        <v>41</v>
      </c>
      <c r="H275" t="s">
        <v>16</v>
      </c>
      <c r="I275">
        <v>6</v>
      </c>
      <c r="J275" t="s">
        <v>49</v>
      </c>
      <c r="K275">
        <v>1.6</v>
      </c>
      <c r="L275">
        <v>1</v>
      </c>
      <c r="M275" s="1">
        <v>0.97</v>
      </c>
    </row>
    <row r="276" spans="1:13" x14ac:dyDescent="0.3">
      <c r="A276" t="s">
        <v>625</v>
      </c>
      <c r="B276" t="s">
        <v>626</v>
      </c>
      <c r="C276" t="str">
        <f t="shared" ref="C276:C283" si="5">B276</f>
        <v>William Gaines</v>
      </c>
      <c r="D276" t="s">
        <v>93</v>
      </c>
      <c r="E276">
        <v>59</v>
      </c>
      <c r="F276" t="s">
        <v>130</v>
      </c>
      <c r="G276" t="s">
        <v>131</v>
      </c>
      <c r="H276" t="s">
        <v>34</v>
      </c>
      <c r="I276">
        <v>21</v>
      </c>
      <c r="J276">
        <v>100</v>
      </c>
      <c r="K276">
        <v>0</v>
      </c>
      <c r="M276" s="1">
        <v>0.7</v>
      </c>
    </row>
    <row r="277" spans="1:13" x14ac:dyDescent="0.3">
      <c r="A277" t="s">
        <v>627</v>
      </c>
      <c r="B277" t="s">
        <v>628</v>
      </c>
      <c r="C277" t="str">
        <f t="shared" si="5"/>
        <v>Haley Yates</v>
      </c>
      <c r="D277" t="s">
        <v>19</v>
      </c>
      <c r="E277">
        <v>26</v>
      </c>
      <c r="F277" t="s">
        <v>169</v>
      </c>
      <c r="G277" t="s">
        <v>170</v>
      </c>
      <c r="H277" t="s">
        <v>69</v>
      </c>
      <c r="I277">
        <v>4</v>
      </c>
      <c r="J277" t="s">
        <v>23</v>
      </c>
      <c r="K277">
        <v>3.6</v>
      </c>
      <c r="L277" t="s">
        <v>154</v>
      </c>
      <c r="M277" s="1">
        <v>0.81</v>
      </c>
    </row>
    <row r="278" spans="1:13" x14ac:dyDescent="0.3">
      <c r="A278" t="s">
        <v>629</v>
      </c>
      <c r="B278" t="s">
        <v>630</v>
      </c>
      <c r="C278" t="str">
        <f t="shared" si="5"/>
        <v>Richard Mcguire</v>
      </c>
      <c r="D278" t="s">
        <v>58</v>
      </c>
      <c r="E278">
        <v>44</v>
      </c>
      <c r="F278" t="s">
        <v>119</v>
      </c>
      <c r="G278" t="s">
        <v>120</v>
      </c>
      <c r="H278" t="s">
        <v>110</v>
      </c>
      <c r="I278">
        <v>18</v>
      </c>
      <c r="J278">
        <v>20</v>
      </c>
      <c r="K278">
        <v>4.7</v>
      </c>
      <c r="L278">
        <v>1</v>
      </c>
      <c r="M278" s="1">
        <v>0.88</v>
      </c>
    </row>
    <row r="279" spans="1:13" x14ac:dyDescent="0.3">
      <c r="A279" t="s">
        <v>631</v>
      </c>
      <c r="B279" t="s">
        <v>632</v>
      </c>
      <c r="C279" t="str">
        <f t="shared" si="5"/>
        <v>Stephanie Fisher</v>
      </c>
      <c r="D279" t="s">
        <v>73</v>
      </c>
      <c r="E279">
        <v>31</v>
      </c>
      <c r="F279" t="s">
        <v>148</v>
      </c>
      <c r="G279" t="s">
        <v>149</v>
      </c>
      <c r="H279" t="s">
        <v>69</v>
      </c>
      <c r="I279">
        <v>12</v>
      </c>
      <c r="J279" s="2">
        <v>40</v>
      </c>
      <c r="L279">
        <v>1</v>
      </c>
      <c r="M279" s="1">
        <v>1</v>
      </c>
    </row>
    <row r="280" spans="1:13" x14ac:dyDescent="0.3">
      <c r="A280" t="s">
        <v>633</v>
      </c>
      <c r="B280" t="s">
        <v>634</v>
      </c>
      <c r="C280" t="str">
        <f t="shared" si="5"/>
        <v>Anthony Goodwin DDS</v>
      </c>
      <c r="D280" t="s">
        <v>26</v>
      </c>
      <c r="E280">
        <v>60</v>
      </c>
      <c r="F280" t="s">
        <v>59</v>
      </c>
      <c r="G280" t="s">
        <v>60</v>
      </c>
      <c r="H280" t="s">
        <v>48</v>
      </c>
      <c r="I280">
        <v>6</v>
      </c>
      <c r="K280">
        <v>3.2</v>
      </c>
      <c r="L280">
        <v>0</v>
      </c>
      <c r="M280">
        <v>95</v>
      </c>
    </row>
    <row r="281" spans="1:13" x14ac:dyDescent="0.3">
      <c r="A281" t="s">
        <v>635</v>
      </c>
      <c r="B281" t="s">
        <v>636</v>
      </c>
      <c r="C281" t="str">
        <f t="shared" si="5"/>
        <v>Meagan Walters</v>
      </c>
      <c r="D281" t="s">
        <v>37</v>
      </c>
      <c r="E281">
        <v>23</v>
      </c>
      <c r="F281" t="s">
        <v>63</v>
      </c>
      <c r="G281" t="s">
        <v>21</v>
      </c>
      <c r="H281" t="s">
        <v>16</v>
      </c>
      <c r="I281">
        <v>4</v>
      </c>
      <c r="J281" t="s">
        <v>307</v>
      </c>
      <c r="L281">
        <v>0</v>
      </c>
      <c r="M281" s="1">
        <v>0.71</v>
      </c>
    </row>
    <row r="282" spans="1:13" x14ac:dyDescent="0.3">
      <c r="A282" t="s">
        <v>637</v>
      </c>
      <c r="B282" t="s">
        <v>638</v>
      </c>
      <c r="C282" t="str">
        <f t="shared" si="5"/>
        <v>David Powell</v>
      </c>
      <c r="D282" t="s">
        <v>88</v>
      </c>
      <c r="E282">
        <v>42</v>
      </c>
      <c r="F282" t="s">
        <v>46</v>
      </c>
      <c r="G282" t="s">
        <v>47</v>
      </c>
      <c r="H282" t="s">
        <v>69</v>
      </c>
      <c r="I282">
        <v>13</v>
      </c>
      <c r="J282" s="2">
        <v>20</v>
      </c>
      <c r="K282">
        <v>4.7</v>
      </c>
      <c r="L282" t="s">
        <v>30</v>
      </c>
      <c r="M282" s="1">
        <v>0.85</v>
      </c>
    </row>
    <row r="283" spans="1:13" x14ac:dyDescent="0.3">
      <c r="A283" t="s">
        <v>639</v>
      </c>
      <c r="B283" t="s">
        <v>640</v>
      </c>
      <c r="C283" t="str">
        <f t="shared" si="5"/>
        <v>Kelly Jones</v>
      </c>
      <c r="D283" t="s">
        <v>13</v>
      </c>
      <c r="E283">
        <v>48</v>
      </c>
      <c r="F283" t="s">
        <v>89</v>
      </c>
      <c r="G283" t="s">
        <v>90</v>
      </c>
      <c r="H283" t="s">
        <v>22</v>
      </c>
      <c r="I283">
        <v>6</v>
      </c>
      <c r="J283">
        <v>30</v>
      </c>
      <c r="L283" t="s">
        <v>30</v>
      </c>
      <c r="M283" s="1">
        <v>0.96</v>
      </c>
    </row>
    <row r="284" spans="1:13" x14ac:dyDescent="0.3">
      <c r="A284" t="s">
        <v>641</v>
      </c>
      <c r="B284" t="s">
        <v>642</v>
      </c>
      <c r="C284" t="str">
        <f>RIGHT(B284, LEN(B284) - FIND(". ", B284))</f>
        <v xml:space="preserve"> Michael Aguilar</v>
      </c>
      <c r="D284" t="s">
        <v>45</v>
      </c>
      <c r="E284">
        <v>42</v>
      </c>
      <c r="F284" t="s">
        <v>40</v>
      </c>
      <c r="G284" t="s">
        <v>41</v>
      </c>
      <c r="H284" t="s">
        <v>29</v>
      </c>
      <c r="I284">
        <v>10</v>
      </c>
      <c r="J284" t="s">
        <v>307</v>
      </c>
      <c r="K284">
        <v>2.4</v>
      </c>
      <c r="L284" t="s">
        <v>70</v>
      </c>
      <c r="M284" s="1">
        <v>0.92</v>
      </c>
    </row>
    <row r="285" spans="1:13" x14ac:dyDescent="0.3">
      <c r="A285" t="s">
        <v>643</v>
      </c>
      <c r="B285" t="s">
        <v>644</v>
      </c>
      <c r="C285" t="str">
        <f t="shared" ref="C285:C310" si="6">B285</f>
        <v>Alex Novak</v>
      </c>
      <c r="D285" t="s">
        <v>88</v>
      </c>
      <c r="E285">
        <v>52</v>
      </c>
      <c r="F285" t="s">
        <v>108</v>
      </c>
      <c r="G285" t="s">
        <v>109</v>
      </c>
      <c r="H285" t="s">
        <v>74</v>
      </c>
      <c r="I285">
        <v>20</v>
      </c>
      <c r="J285">
        <v>50</v>
      </c>
      <c r="L285" t="b">
        <v>0</v>
      </c>
      <c r="M285" s="1">
        <v>0.79</v>
      </c>
    </row>
    <row r="286" spans="1:13" x14ac:dyDescent="0.3">
      <c r="A286" t="s">
        <v>645</v>
      </c>
      <c r="B286" t="s">
        <v>646</v>
      </c>
      <c r="C286" t="str">
        <f t="shared" si="6"/>
        <v>Ann Contreras</v>
      </c>
      <c r="D286" t="s">
        <v>37</v>
      </c>
      <c r="E286">
        <v>55</v>
      </c>
      <c r="F286" t="s">
        <v>81</v>
      </c>
      <c r="G286" t="s">
        <v>82</v>
      </c>
      <c r="H286" t="s">
        <v>34</v>
      </c>
      <c r="I286">
        <v>20</v>
      </c>
      <c r="J286">
        <v>75</v>
      </c>
      <c r="K286">
        <v>2.9</v>
      </c>
      <c r="L286" t="b">
        <v>0</v>
      </c>
    </row>
    <row r="287" spans="1:13" x14ac:dyDescent="0.3">
      <c r="A287" t="s">
        <v>647</v>
      </c>
      <c r="B287" t="s">
        <v>648</v>
      </c>
      <c r="C287" t="str">
        <f t="shared" si="6"/>
        <v>Mary Reed</v>
      </c>
      <c r="D287" t="s">
        <v>13</v>
      </c>
      <c r="E287">
        <v>58</v>
      </c>
      <c r="F287" t="s">
        <v>148</v>
      </c>
      <c r="G287" t="s">
        <v>149</v>
      </c>
      <c r="H287" t="s">
        <v>74</v>
      </c>
      <c r="I287">
        <v>11</v>
      </c>
      <c r="J287">
        <v>50</v>
      </c>
      <c r="K287">
        <v>0</v>
      </c>
      <c r="L287">
        <v>0</v>
      </c>
    </row>
    <row r="288" spans="1:13" x14ac:dyDescent="0.3">
      <c r="A288" t="s">
        <v>649</v>
      </c>
      <c r="B288" t="s">
        <v>650</v>
      </c>
      <c r="C288" t="str">
        <f t="shared" si="6"/>
        <v>Lauren Ross</v>
      </c>
      <c r="D288" t="s">
        <v>19</v>
      </c>
      <c r="E288">
        <v>46</v>
      </c>
      <c r="F288" t="s">
        <v>108</v>
      </c>
      <c r="G288" t="s">
        <v>109</v>
      </c>
      <c r="H288" t="s">
        <v>110</v>
      </c>
      <c r="I288">
        <v>12</v>
      </c>
      <c r="J288">
        <v>20</v>
      </c>
      <c r="K288">
        <v>0</v>
      </c>
      <c r="L288" t="b">
        <v>0</v>
      </c>
      <c r="M288" s="1">
        <v>0.89</v>
      </c>
    </row>
    <row r="289" spans="1:13" x14ac:dyDescent="0.3">
      <c r="A289" t="s">
        <v>651</v>
      </c>
      <c r="B289" t="s">
        <v>652</v>
      </c>
      <c r="C289" t="str">
        <f t="shared" si="6"/>
        <v>Candice Wise</v>
      </c>
      <c r="D289" t="s">
        <v>19</v>
      </c>
      <c r="E289">
        <v>45</v>
      </c>
      <c r="F289" t="s">
        <v>184</v>
      </c>
      <c r="G289" t="s">
        <v>68</v>
      </c>
      <c r="H289" t="s">
        <v>110</v>
      </c>
      <c r="I289">
        <v>1</v>
      </c>
      <c r="J289">
        <v>100</v>
      </c>
      <c r="K289">
        <v>1.5</v>
      </c>
      <c r="L289">
        <v>1</v>
      </c>
      <c r="M289" s="1">
        <v>1</v>
      </c>
    </row>
    <row r="290" spans="1:13" x14ac:dyDescent="0.3">
      <c r="A290" t="s">
        <v>653</v>
      </c>
      <c r="B290" t="s">
        <v>654</v>
      </c>
      <c r="C290" t="str">
        <f t="shared" si="6"/>
        <v>Joyce Humphrey</v>
      </c>
      <c r="D290" t="s">
        <v>19</v>
      </c>
      <c r="E290">
        <v>56</v>
      </c>
      <c r="F290" t="s">
        <v>89</v>
      </c>
      <c r="G290" t="s">
        <v>90</v>
      </c>
      <c r="H290" t="s">
        <v>110</v>
      </c>
      <c r="I290">
        <v>2</v>
      </c>
      <c r="J290">
        <v>30</v>
      </c>
      <c r="K290">
        <v>1.9</v>
      </c>
      <c r="L290">
        <v>1</v>
      </c>
      <c r="M290" s="1">
        <v>0.81</v>
      </c>
    </row>
    <row r="291" spans="1:13" x14ac:dyDescent="0.3">
      <c r="A291" t="s">
        <v>655</v>
      </c>
      <c r="B291" t="s">
        <v>656</v>
      </c>
      <c r="C291" t="str">
        <f t="shared" si="6"/>
        <v>James Carr</v>
      </c>
      <c r="D291" t="s">
        <v>26</v>
      </c>
      <c r="E291">
        <v>44</v>
      </c>
      <c r="F291" t="s">
        <v>63</v>
      </c>
      <c r="G291" t="s">
        <v>21</v>
      </c>
      <c r="H291" t="s">
        <v>16</v>
      </c>
      <c r="I291">
        <v>13</v>
      </c>
      <c r="J291">
        <v>100</v>
      </c>
      <c r="K291">
        <v>3.1</v>
      </c>
      <c r="L291" t="s">
        <v>70</v>
      </c>
      <c r="M291">
        <v>95</v>
      </c>
    </row>
    <row r="292" spans="1:13" x14ac:dyDescent="0.3">
      <c r="A292" t="s">
        <v>657</v>
      </c>
      <c r="B292" t="s">
        <v>658</v>
      </c>
      <c r="C292" t="str">
        <f t="shared" si="6"/>
        <v>Joseph Mendoza</v>
      </c>
      <c r="D292" t="s">
        <v>93</v>
      </c>
      <c r="E292">
        <v>46</v>
      </c>
      <c r="F292" t="s">
        <v>46</v>
      </c>
      <c r="G292" t="s">
        <v>47</v>
      </c>
      <c r="H292" t="s">
        <v>69</v>
      </c>
      <c r="I292">
        <v>0</v>
      </c>
      <c r="K292">
        <v>1.8</v>
      </c>
      <c r="L292" t="s">
        <v>30</v>
      </c>
      <c r="M292" s="1">
        <v>0.88</v>
      </c>
    </row>
    <row r="293" spans="1:13" x14ac:dyDescent="0.3">
      <c r="A293" t="s">
        <v>659</v>
      </c>
      <c r="B293" t="s">
        <v>660</v>
      </c>
      <c r="C293" t="str">
        <f t="shared" si="6"/>
        <v>Cathy Baldwin</v>
      </c>
      <c r="D293" t="s">
        <v>73</v>
      </c>
      <c r="E293">
        <v>27</v>
      </c>
      <c r="F293" t="s">
        <v>81</v>
      </c>
      <c r="G293" t="s">
        <v>82</v>
      </c>
      <c r="H293" t="s">
        <v>34</v>
      </c>
      <c r="I293">
        <v>7</v>
      </c>
      <c r="J293">
        <v>30</v>
      </c>
      <c r="K293">
        <v>2.4</v>
      </c>
      <c r="L293" t="s">
        <v>64</v>
      </c>
      <c r="M293" s="1">
        <v>0.66</v>
      </c>
    </row>
    <row r="294" spans="1:13" x14ac:dyDescent="0.3">
      <c r="A294" t="s">
        <v>661</v>
      </c>
      <c r="B294" t="s">
        <v>662</v>
      </c>
      <c r="C294" t="str">
        <f t="shared" si="6"/>
        <v>Christine Hart</v>
      </c>
      <c r="D294" t="s">
        <v>19</v>
      </c>
      <c r="E294">
        <v>49</v>
      </c>
      <c r="F294" t="s">
        <v>89</v>
      </c>
      <c r="G294" t="s">
        <v>90</v>
      </c>
      <c r="H294" t="s">
        <v>16</v>
      </c>
      <c r="I294">
        <v>13</v>
      </c>
      <c r="J294">
        <v>100</v>
      </c>
      <c r="K294">
        <v>4.2</v>
      </c>
      <c r="L294">
        <v>1</v>
      </c>
      <c r="M294" s="1">
        <v>0.84</v>
      </c>
    </row>
    <row r="295" spans="1:13" x14ac:dyDescent="0.3">
      <c r="A295" t="s">
        <v>663</v>
      </c>
      <c r="B295" t="s">
        <v>664</v>
      </c>
      <c r="C295" t="str">
        <f t="shared" si="6"/>
        <v>Mike Stanley</v>
      </c>
      <c r="D295" t="s">
        <v>93</v>
      </c>
      <c r="E295">
        <v>53</v>
      </c>
      <c r="F295" t="s">
        <v>173</v>
      </c>
      <c r="G295" t="s">
        <v>68</v>
      </c>
      <c r="H295" t="s">
        <v>34</v>
      </c>
      <c r="I295">
        <v>21</v>
      </c>
      <c r="J295" s="2">
        <v>50</v>
      </c>
      <c r="K295">
        <v>1.4</v>
      </c>
      <c r="L295" t="s">
        <v>30</v>
      </c>
    </row>
    <row r="296" spans="1:13" x14ac:dyDescent="0.3">
      <c r="A296" t="s">
        <v>665</v>
      </c>
      <c r="B296" t="s">
        <v>666</v>
      </c>
      <c r="C296" t="str">
        <f t="shared" si="6"/>
        <v>Jeffrey Edwards</v>
      </c>
      <c r="D296" t="s">
        <v>93</v>
      </c>
      <c r="E296">
        <v>56</v>
      </c>
      <c r="F296" t="s">
        <v>20</v>
      </c>
      <c r="G296" t="s">
        <v>21</v>
      </c>
      <c r="H296" t="s">
        <v>34</v>
      </c>
      <c r="I296">
        <v>19</v>
      </c>
      <c r="J296">
        <v>40</v>
      </c>
      <c r="K296">
        <v>1.2</v>
      </c>
      <c r="L296" t="s">
        <v>70</v>
      </c>
      <c r="M296" s="1">
        <v>0.82</v>
      </c>
    </row>
    <row r="297" spans="1:13" x14ac:dyDescent="0.3">
      <c r="A297" t="s">
        <v>667</v>
      </c>
      <c r="B297" t="s">
        <v>668</v>
      </c>
      <c r="C297" t="str">
        <f t="shared" si="6"/>
        <v>Amy Lee</v>
      </c>
      <c r="D297" t="s">
        <v>19</v>
      </c>
      <c r="E297">
        <v>56</v>
      </c>
      <c r="F297" t="s">
        <v>63</v>
      </c>
      <c r="G297" t="s">
        <v>21</v>
      </c>
      <c r="H297" t="s">
        <v>85</v>
      </c>
      <c r="I297">
        <v>34</v>
      </c>
      <c r="K297">
        <v>2.1</v>
      </c>
      <c r="L297" t="s">
        <v>64</v>
      </c>
      <c r="M297" s="1">
        <v>0.84</v>
      </c>
    </row>
    <row r="298" spans="1:13" x14ac:dyDescent="0.3">
      <c r="A298" t="s">
        <v>669</v>
      </c>
      <c r="B298" t="s">
        <v>670</v>
      </c>
      <c r="C298" t="str">
        <f t="shared" si="6"/>
        <v>Mark Thompson</v>
      </c>
      <c r="D298" t="s">
        <v>58</v>
      </c>
      <c r="E298">
        <v>38</v>
      </c>
      <c r="F298" t="s">
        <v>148</v>
      </c>
      <c r="G298" t="s">
        <v>149</v>
      </c>
      <c r="H298" t="s">
        <v>48</v>
      </c>
      <c r="I298">
        <v>3</v>
      </c>
      <c r="J298">
        <v>100</v>
      </c>
      <c r="K298">
        <v>1.4</v>
      </c>
      <c r="L298" t="b">
        <v>0</v>
      </c>
      <c r="M298" s="1">
        <v>0.73</v>
      </c>
    </row>
    <row r="299" spans="1:13" x14ac:dyDescent="0.3">
      <c r="A299" t="s">
        <v>671</v>
      </c>
      <c r="B299" t="s">
        <v>672</v>
      </c>
      <c r="C299" t="str">
        <f t="shared" si="6"/>
        <v>Alex Wilson</v>
      </c>
      <c r="D299" t="s">
        <v>88</v>
      </c>
      <c r="E299">
        <v>20</v>
      </c>
      <c r="F299" t="s">
        <v>108</v>
      </c>
      <c r="G299" t="s">
        <v>109</v>
      </c>
      <c r="H299" t="s">
        <v>22</v>
      </c>
      <c r="I299">
        <v>0</v>
      </c>
      <c r="J299">
        <v>30</v>
      </c>
      <c r="K299">
        <v>3.8</v>
      </c>
      <c r="M299" s="1">
        <v>0.93</v>
      </c>
    </row>
    <row r="300" spans="1:13" x14ac:dyDescent="0.3">
      <c r="A300" t="s">
        <v>673</v>
      </c>
      <c r="B300" t="s">
        <v>674</v>
      </c>
      <c r="C300" t="str">
        <f t="shared" si="6"/>
        <v>Nancy Mendez</v>
      </c>
      <c r="D300" t="s">
        <v>37</v>
      </c>
      <c r="E300">
        <v>38</v>
      </c>
      <c r="F300" t="s">
        <v>123</v>
      </c>
      <c r="G300" t="s">
        <v>21</v>
      </c>
      <c r="H300" t="s">
        <v>110</v>
      </c>
      <c r="I300">
        <v>20</v>
      </c>
      <c r="J300">
        <v>50</v>
      </c>
      <c r="K300">
        <v>0</v>
      </c>
      <c r="M300" s="1">
        <v>0.64</v>
      </c>
    </row>
    <row r="301" spans="1:13" x14ac:dyDescent="0.3">
      <c r="A301" t="s">
        <v>675</v>
      </c>
      <c r="B301" t="s">
        <v>676</v>
      </c>
      <c r="C301" t="str">
        <f t="shared" si="6"/>
        <v>Beth Crane</v>
      </c>
      <c r="D301" t="s">
        <v>13</v>
      </c>
      <c r="F301" t="s">
        <v>40</v>
      </c>
      <c r="G301" t="s">
        <v>41</v>
      </c>
      <c r="H301" t="s">
        <v>22</v>
      </c>
      <c r="I301">
        <v>6</v>
      </c>
      <c r="J301">
        <v>40</v>
      </c>
      <c r="K301">
        <v>3.5</v>
      </c>
      <c r="L301">
        <v>0</v>
      </c>
      <c r="M301" s="1">
        <v>0.76</v>
      </c>
    </row>
    <row r="302" spans="1:13" x14ac:dyDescent="0.3">
      <c r="A302" t="s">
        <v>677</v>
      </c>
      <c r="B302" t="s">
        <v>678</v>
      </c>
      <c r="C302" t="str">
        <f t="shared" si="6"/>
        <v>Miguel Rogers</v>
      </c>
      <c r="D302" t="s">
        <v>58</v>
      </c>
      <c r="E302">
        <v>46</v>
      </c>
      <c r="F302" t="s">
        <v>89</v>
      </c>
      <c r="G302" t="s">
        <v>90</v>
      </c>
      <c r="H302" t="s">
        <v>110</v>
      </c>
      <c r="I302">
        <v>13</v>
      </c>
      <c r="J302" s="2">
        <v>100</v>
      </c>
      <c r="K302">
        <v>0</v>
      </c>
      <c r="L302" t="s">
        <v>70</v>
      </c>
      <c r="M302" s="1">
        <v>0.97</v>
      </c>
    </row>
    <row r="303" spans="1:13" x14ac:dyDescent="0.3">
      <c r="A303" t="s">
        <v>679</v>
      </c>
      <c r="B303" t="s">
        <v>680</v>
      </c>
      <c r="C303" t="str">
        <f t="shared" si="6"/>
        <v>Thomas Robles</v>
      </c>
      <c r="D303" t="s">
        <v>93</v>
      </c>
      <c r="E303">
        <v>36</v>
      </c>
      <c r="F303" t="s">
        <v>148</v>
      </c>
      <c r="G303" t="s">
        <v>149</v>
      </c>
      <c r="H303" t="s">
        <v>48</v>
      </c>
      <c r="I303">
        <v>9</v>
      </c>
      <c r="J303">
        <v>75</v>
      </c>
      <c r="K303">
        <v>2.2000000000000002</v>
      </c>
      <c r="L303">
        <v>0</v>
      </c>
      <c r="M303" s="1">
        <v>0.95</v>
      </c>
    </row>
    <row r="304" spans="1:13" x14ac:dyDescent="0.3">
      <c r="A304" t="s">
        <v>681</v>
      </c>
      <c r="B304" t="s">
        <v>682</v>
      </c>
      <c r="C304" t="str">
        <f t="shared" si="6"/>
        <v>Joel Brown III</v>
      </c>
      <c r="D304" t="s">
        <v>93</v>
      </c>
      <c r="E304">
        <v>33</v>
      </c>
      <c r="F304" t="s">
        <v>119</v>
      </c>
      <c r="G304" t="s">
        <v>120</v>
      </c>
      <c r="H304" t="s">
        <v>34</v>
      </c>
      <c r="I304">
        <v>2</v>
      </c>
      <c r="J304">
        <v>75</v>
      </c>
      <c r="K304">
        <v>2.5</v>
      </c>
      <c r="L304" t="b">
        <v>0</v>
      </c>
      <c r="M304" s="1">
        <v>0.65</v>
      </c>
    </row>
    <row r="305" spans="1:13" x14ac:dyDescent="0.3">
      <c r="A305" t="s">
        <v>683</v>
      </c>
      <c r="B305" t="s">
        <v>684</v>
      </c>
      <c r="C305" t="str">
        <f t="shared" si="6"/>
        <v>Olivia Schultz</v>
      </c>
      <c r="D305" t="s">
        <v>33</v>
      </c>
      <c r="E305">
        <v>37</v>
      </c>
      <c r="F305" t="s">
        <v>123</v>
      </c>
      <c r="G305" t="s">
        <v>21</v>
      </c>
      <c r="H305" t="s">
        <v>29</v>
      </c>
      <c r="I305">
        <v>0</v>
      </c>
      <c r="J305" t="s">
        <v>94</v>
      </c>
      <c r="K305">
        <v>4.7</v>
      </c>
      <c r="L305">
        <v>0</v>
      </c>
      <c r="M305" s="1">
        <v>0.77</v>
      </c>
    </row>
    <row r="306" spans="1:13" x14ac:dyDescent="0.3">
      <c r="A306" t="s">
        <v>685</v>
      </c>
      <c r="B306" t="s">
        <v>686</v>
      </c>
      <c r="C306" t="str">
        <f t="shared" si="6"/>
        <v>Clayton Pena</v>
      </c>
      <c r="D306" t="s">
        <v>93</v>
      </c>
      <c r="E306">
        <v>20</v>
      </c>
      <c r="F306" t="s">
        <v>134</v>
      </c>
      <c r="G306" t="s">
        <v>135</v>
      </c>
      <c r="H306" t="s">
        <v>48</v>
      </c>
      <c r="I306">
        <v>0</v>
      </c>
      <c r="J306">
        <v>20</v>
      </c>
      <c r="K306">
        <v>3.9</v>
      </c>
      <c r="L306" t="b">
        <v>0</v>
      </c>
    </row>
    <row r="307" spans="1:13" x14ac:dyDescent="0.3">
      <c r="A307" t="s">
        <v>687</v>
      </c>
      <c r="B307" t="s">
        <v>688</v>
      </c>
      <c r="C307" t="str">
        <f t="shared" si="6"/>
        <v>Ashley Salazar</v>
      </c>
      <c r="D307" t="s">
        <v>19</v>
      </c>
      <c r="E307">
        <v>48</v>
      </c>
      <c r="F307" t="s">
        <v>169</v>
      </c>
      <c r="G307" t="s">
        <v>170</v>
      </c>
      <c r="H307" t="s">
        <v>48</v>
      </c>
      <c r="I307">
        <v>2</v>
      </c>
      <c r="J307">
        <v>75</v>
      </c>
      <c r="K307">
        <v>1.6</v>
      </c>
      <c r="L307" t="s">
        <v>30</v>
      </c>
      <c r="M307" s="1">
        <v>0.67</v>
      </c>
    </row>
    <row r="308" spans="1:13" x14ac:dyDescent="0.3">
      <c r="A308" t="s">
        <v>689</v>
      </c>
      <c r="B308" t="s">
        <v>690</v>
      </c>
      <c r="C308" t="str">
        <f t="shared" si="6"/>
        <v>Robert Lucas</v>
      </c>
      <c r="D308" t="s">
        <v>26</v>
      </c>
      <c r="E308">
        <v>27</v>
      </c>
      <c r="F308" t="s">
        <v>130</v>
      </c>
      <c r="G308" t="s">
        <v>131</v>
      </c>
      <c r="H308" t="s">
        <v>74</v>
      </c>
      <c r="I308">
        <v>2</v>
      </c>
      <c r="J308" s="2">
        <v>50</v>
      </c>
      <c r="L308">
        <v>0</v>
      </c>
      <c r="M308" s="1">
        <v>0.84</v>
      </c>
    </row>
    <row r="309" spans="1:13" x14ac:dyDescent="0.3">
      <c r="A309" t="s">
        <v>691</v>
      </c>
      <c r="B309" t="s">
        <v>692</v>
      </c>
      <c r="C309" t="str">
        <f t="shared" si="6"/>
        <v>David Cox</v>
      </c>
      <c r="D309" t="s">
        <v>88</v>
      </c>
      <c r="E309">
        <v>34</v>
      </c>
      <c r="F309" t="s">
        <v>108</v>
      </c>
      <c r="G309" t="s">
        <v>109</v>
      </c>
      <c r="H309" t="s">
        <v>22</v>
      </c>
      <c r="I309">
        <v>1</v>
      </c>
      <c r="J309">
        <v>30</v>
      </c>
      <c r="K309">
        <v>3.6</v>
      </c>
      <c r="L309">
        <v>1</v>
      </c>
      <c r="M309" s="1">
        <v>0.87</v>
      </c>
    </row>
    <row r="310" spans="1:13" x14ac:dyDescent="0.3">
      <c r="A310" t="s">
        <v>693</v>
      </c>
      <c r="B310" t="s">
        <v>694</v>
      </c>
      <c r="C310" t="str">
        <f t="shared" si="6"/>
        <v>Christian Campbell</v>
      </c>
      <c r="D310" t="s">
        <v>93</v>
      </c>
      <c r="E310">
        <v>55</v>
      </c>
      <c r="F310" t="s">
        <v>103</v>
      </c>
      <c r="G310" t="s">
        <v>104</v>
      </c>
      <c r="H310" t="s">
        <v>110</v>
      </c>
      <c r="I310">
        <v>14</v>
      </c>
      <c r="J310" t="s">
        <v>105</v>
      </c>
      <c r="K310">
        <v>1.2</v>
      </c>
      <c r="L310" t="s">
        <v>64</v>
      </c>
      <c r="M310" s="1">
        <v>0.91</v>
      </c>
    </row>
    <row r="311" spans="1:13" x14ac:dyDescent="0.3">
      <c r="A311" t="s">
        <v>695</v>
      </c>
      <c r="B311" t="s">
        <v>696</v>
      </c>
      <c r="C311" t="str">
        <f>RIGHT(B311, LEN(B311) - FIND(". ", B311))</f>
        <v xml:space="preserve"> Angela Ward</v>
      </c>
      <c r="D311" t="s">
        <v>33</v>
      </c>
      <c r="E311">
        <v>44</v>
      </c>
      <c r="F311" t="s">
        <v>148</v>
      </c>
      <c r="G311" t="s">
        <v>149</v>
      </c>
      <c r="H311" t="s">
        <v>110</v>
      </c>
      <c r="I311">
        <v>14</v>
      </c>
      <c r="J311" t="s">
        <v>49</v>
      </c>
      <c r="K311">
        <v>3</v>
      </c>
      <c r="L311">
        <v>0</v>
      </c>
      <c r="M311" s="1">
        <v>0.78</v>
      </c>
    </row>
    <row r="312" spans="1:13" x14ac:dyDescent="0.3">
      <c r="A312" t="s">
        <v>697</v>
      </c>
      <c r="B312" t="s">
        <v>698</v>
      </c>
      <c r="C312" t="str">
        <f t="shared" ref="C312:C375" si="7">B312</f>
        <v>Lucas Chen</v>
      </c>
      <c r="D312" t="s">
        <v>26</v>
      </c>
      <c r="E312">
        <v>31</v>
      </c>
      <c r="F312" t="s">
        <v>40</v>
      </c>
      <c r="G312" t="s">
        <v>41</v>
      </c>
      <c r="H312" t="s">
        <v>69</v>
      </c>
      <c r="I312">
        <v>2</v>
      </c>
      <c r="J312">
        <v>50</v>
      </c>
      <c r="K312">
        <v>3.9</v>
      </c>
      <c r="L312">
        <v>0</v>
      </c>
    </row>
    <row r="313" spans="1:13" x14ac:dyDescent="0.3">
      <c r="A313" t="s">
        <v>699</v>
      </c>
      <c r="B313" t="s">
        <v>700</v>
      </c>
      <c r="C313" t="str">
        <f t="shared" si="7"/>
        <v>Ruben Nelson</v>
      </c>
      <c r="D313" t="s">
        <v>45</v>
      </c>
      <c r="E313">
        <v>34</v>
      </c>
      <c r="F313" t="s">
        <v>20</v>
      </c>
      <c r="G313" t="s">
        <v>21</v>
      </c>
      <c r="H313" t="s">
        <v>85</v>
      </c>
      <c r="I313">
        <v>1</v>
      </c>
      <c r="J313">
        <v>40</v>
      </c>
      <c r="K313">
        <v>1.7</v>
      </c>
      <c r="M313">
        <v>74</v>
      </c>
    </row>
    <row r="314" spans="1:13" x14ac:dyDescent="0.3">
      <c r="A314" t="s">
        <v>701</v>
      </c>
      <c r="B314" t="s">
        <v>702</v>
      </c>
      <c r="C314" t="str">
        <f t="shared" si="7"/>
        <v>Brenda Briggs</v>
      </c>
      <c r="D314" t="s">
        <v>33</v>
      </c>
      <c r="E314">
        <v>47</v>
      </c>
      <c r="F314" t="s">
        <v>103</v>
      </c>
      <c r="G314" t="s">
        <v>104</v>
      </c>
      <c r="H314" t="s">
        <v>85</v>
      </c>
      <c r="I314">
        <v>13</v>
      </c>
      <c r="J314">
        <v>20</v>
      </c>
      <c r="K314">
        <v>4.5</v>
      </c>
      <c r="M314" s="1">
        <v>0.91</v>
      </c>
    </row>
    <row r="315" spans="1:13" x14ac:dyDescent="0.3">
      <c r="A315" t="s">
        <v>703</v>
      </c>
      <c r="B315" t="s">
        <v>704</v>
      </c>
      <c r="C315" t="str">
        <f t="shared" si="7"/>
        <v>Ronald Smith</v>
      </c>
      <c r="D315" t="s">
        <v>45</v>
      </c>
      <c r="E315">
        <v>50</v>
      </c>
      <c r="F315" t="s">
        <v>55</v>
      </c>
      <c r="G315" t="s">
        <v>21</v>
      </c>
      <c r="H315" t="s">
        <v>29</v>
      </c>
      <c r="I315">
        <v>23</v>
      </c>
      <c r="J315" s="2">
        <v>40</v>
      </c>
      <c r="K315">
        <v>3.6</v>
      </c>
      <c r="L315" t="b">
        <v>1</v>
      </c>
      <c r="M315" s="1">
        <v>0.71</v>
      </c>
    </row>
    <row r="316" spans="1:13" x14ac:dyDescent="0.3">
      <c r="A316" t="s">
        <v>705</v>
      </c>
      <c r="B316" t="s">
        <v>706</v>
      </c>
      <c r="C316" t="str">
        <f t="shared" si="7"/>
        <v>Dakota Giles</v>
      </c>
      <c r="D316" t="s">
        <v>88</v>
      </c>
      <c r="E316">
        <v>39</v>
      </c>
      <c r="F316" t="s">
        <v>27</v>
      </c>
      <c r="G316" t="s">
        <v>28</v>
      </c>
      <c r="H316" t="s">
        <v>74</v>
      </c>
      <c r="J316" t="s">
        <v>49</v>
      </c>
      <c r="K316">
        <v>3.6</v>
      </c>
      <c r="L316" t="s">
        <v>70</v>
      </c>
      <c r="M316" s="1">
        <v>0.87</v>
      </c>
    </row>
    <row r="317" spans="1:13" x14ac:dyDescent="0.3">
      <c r="A317" t="s">
        <v>707</v>
      </c>
      <c r="B317" t="s">
        <v>708</v>
      </c>
      <c r="C317" t="str">
        <f t="shared" si="7"/>
        <v>Angela Castillo</v>
      </c>
      <c r="D317" t="s">
        <v>19</v>
      </c>
      <c r="E317">
        <v>26</v>
      </c>
      <c r="F317" t="s">
        <v>67</v>
      </c>
      <c r="G317" t="s">
        <v>68</v>
      </c>
      <c r="H317" t="s">
        <v>16</v>
      </c>
      <c r="I317">
        <v>3</v>
      </c>
      <c r="J317" t="s">
        <v>23</v>
      </c>
      <c r="K317">
        <v>2.8</v>
      </c>
      <c r="L317">
        <v>1</v>
      </c>
      <c r="M317" s="1">
        <v>0.61</v>
      </c>
    </row>
    <row r="318" spans="1:13" x14ac:dyDescent="0.3">
      <c r="A318" t="s">
        <v>709</v>
      </c>
      <c r="B318" t="s">
        <v>710</v>
      </c>
      <c r="C318" t="str">
        <f t="shared" si="7"/>
        <v>Allen Lee</v>
      </c>
      <c r="D318" t="s">
        <v>88</v>
      </c>
      <c r="F318" t="s">
        <v>40</v>
      </c>
      <c r="G318" t="s">
        <v>41</v>
      </c>
      <c r="H318" t="s">
        <v>85</v>
      </c>
      <c r="I318">
        <v>0</v>
      </c>
      <c r="J318" s="2">
        <v>100</v>
      </c>
      <c r="K318">
        <v>5</v>
      </c>
      <c r="L318" t="s">
        <v>30</v>
      </c>
    </row>
    <row r="319" spans="1:13" x14ac:dyDescent="0.3">
      <c r="A319" t="s">
        <v>711</v>
      </c>
      <c r="B319" t="s">
        <v>712</v>
      </c>
      <c r="C319" t="str">
        <f t="shared" si="7"/>
        <v>Michael Rogers</v>
      </c>
      <c r="D319" t="s">
        <v>26</v>
      </c>
      <c r="E319">
        <v>32</v>
      </c>
      <c r="F319" t="s">
        <v>27</v>
      </c>
      <c r="G319" t="s">
        <v>28</v>
      </c>
      <c r="H319" t="s">
        <v>29</v>
      </c>
      <c r="I319">
        <v>0</v>
      </c>
      <c r="J319">
        <v>100</v>
      </c>
      <c r="K319">
        <v>1.4</v>
      </c>
      <c r="L319">
        <v>1</v>
      </c>
      <c r="M319" s="1">
        <v>0.81</v>
      </c>
    </row>
    <row r="320" spans="1:13" x14ac:dyDescent="0.3">
      <c r="A320" t="s">
        <v>713</v>
      </c>
      <c r="B320" t="s">
        <v>714</v>
      </c>
      <c r="C320" t="str">
        <f t="shared" si="7"/>
        <v>Danielle Costa</v>
      </c>
      <c r="D320" t="s">
        <v>73</v>
      </c>
      <c r="E320">
        <v>55</v>
      </c>
      <c r="F320" t="s">
        <v>119</v>
      </c>
      <c r="G320" t="s">
        <v>120</v>
      </c>
      <c r="H320" t="s">
        <v>48</v>
      </c>
      <c r="I320">
        <v>17</v>
      </c>
      <c r="J320">
        <v>30</v>
      </c>
    </row>
    <row r="321" spans="1:13" x14ac:dyDescent="0.3">
      <c r="A321" t="s">
        <v>715</v>
      </c>
      <c r="B321" t="s">
        <v>716</v>
      </c>
      <c r="C321" t="str">
        <f t="shared" si="7"/>
        <v>William Nunez</v>
      </c>
      <c r="D321" t="s">
        <v>88</v>
      </c>
      <c r="E321">
        <v>32</v>
      </c>
      <c r="F321" t="s">
        <v>67</v>
      </c>
      <c r="G321" t="s">
        <v>68</v>
      </c>
      <c r="H321" t="s">
        <v>110</v>
      </c>
      <c r="I321">
        <v>9</v>
      </c>
      <c r="J321" t="s">
        <v>52</v>
      </c>
      <c r="K321">
        <v>4.5999999999999996</v>
      </c>
      <c r="L321">
        <v>1</v>
      </c>
      <c r="M321" s="1">
        <v>0.84</v>
      </c>
    </row>
    <row r="322" spans="1:13" x14ac:dyDescent="0.3">
      <c r="A322" t="s">
        <v>717</v>
      </c>
      <c r="B322" t="s">
        <v>718</v>
      </c>
      <c r="C322" t="str">
        <f t="shared" si="7"/>
        <v>Christopher Riggs</v>
      </c>
      <c r="D322" t="s">
        <v>45</v>
      </c>
      <c r="E322">
        <v>30</v>
      </c>
      <c r="F322" t="s">
        <v>108</v>
      </c>
      <c r="G322" t="s">
        <v>109</v>
      </c>
      <c r="H322" t="s">
        <v>16</v>
      </c>
      <c r="I322">
        <v>4</v>
      </c>
      <c r="J322" s="2">
        <v>20</v>
      </c>
      <c r="K322">
        <v>3.3</v>
      </c>
      <c r="L322" t="s">
        <v>154</v>
      </c>
    </row>
    <row r="323" spans="1:13" x14ac:dyDescent="0.3">
      <c r="A323" t="s">
        <v>719</v>
      </c>
      <c r="B323" t="s">
        <v>720</v>
      </c>
      <c r="C323" t="str">
        <f t="shared" si="7"/>
        <v>Kathryn Myers</v>
      </c>
      <c r="D323" t="s">
        <v>37</v>
      </c>
      <c r="E323">
        <v>37</v>
      </c>
      <c r="F323" t="s">
        <v>123</v>
      </c>
      <c r="G323" t="s">
        <v>21</v>
      </c>
      <c r="H323" t="s">
        <v>74</v>
      </c>
      <c r="I323">
        <v>0</v>
      </c>
      <c r="J323" s="2">
        <v>40</v>
      </c>
      <c r="K323">
        <v>3.7</v>
      </c>
      <c r="L323">
        <v>1</v>
      </c>
    </row>
    <row r="324" spans="1:13" x14ac:dyDescent="0.3">
      <c r="A324" t="s">
        <v>721</v>
      </c>
      <c r="B324" t="s">
        <v>722</v>
      </c>
      <c r="C324" t="str">
        <f t="shared" si="7"/>
        <v>Robert Walls</v>
      </c>
      <c r="D324" t="s">
        <v>88</v>
      </c>
      <c r="E324">
        <v>52</v>
      </c>
      <c r="F324" t="s">
        <v>103</v>
      </c>
      <c r="G324" t="s">
        <v>104</v>
      </c>
      <c r="H324" t="s">
        <v>29</v>
      </c>
      <c r="I324">
        <v>33</v>
      </c>
      <c r="K324">
        <v>0</v>
      </c>
      <c r="L324">
        <v>1</v>
      </c>
      <c r="M324" s="1">
        <v>0.6</v>
      </c>
    </row>
    <row r="325" spans="1:13" x14ac:dyDescent="0.3">
      <c r="A325" t="s">
        <v>723</v>
      </c>
      <c r="B325" t="s">
        <v>724</v>
      </c>
      <c r="C325" t="str">
        <f t="shared" si="7"/>
        <v>Justin Johnson</v>
      </c>
      <c r="D325" t="s">
        <v>93</v>
      </c>
      <c r="E325">
        <v>48</v>
      </c>
      <c r="F325" t="s">
        <v>89</v>
      </c>
      <c r="G325" t="s">
        <v>90</v>
      </c>
      <c r="H325" t="s">
        <v>74</v>
      </c>
      <c r="I325">
        <v>18</v>
      </c>
      <c r="J325">
        <v>50</v>
      </c>
      <c r="K325">
        <v>0</v>
      </c>
      <c r="L325" t="s">
        <v>70</v>
      </c>
      <c r="M325" s="1">
        <v>0.64</v>
      </c>
    </row>
    <row r="326" spans="1:13" x14ac:dyDescent="0.3">
      <c r="A326" t="s">
        <v>725</v>
      </c>
      <c r="B326" t="s">
        <v>726</v>
      </c>
      <c r="C326" t="str">
        <f t="shared" si="7"/>
        <v>Paula Stevens</v>
      </c>
      <c r="D326" t="s">
        <v>19</v>
      </c>
      <c r="E326">
        <v>28</v>
      </c>
      <c r="F326" t="s">
        <v>81</v>
      </c>
      <c r="G326" t="s">
        <v>82</v>
      </c>
      <c r="H326" t="s">
        <v>22</v>
      </c>
      <c r="I326">
        <v>9</v>
      </c>
      <c r="J326">
        <v>40</v>
      </c>
      <c r="L326">
        <v>1</v>
      </c>
      <c r="M326" s="1">
        <v>0.64</v>
      </c>
    </row>
    <row r="327" spans="1:13" x14ac:dyDescent="0.3">
      <c r="A327" t="s">
        <v>727</v>
      </c>
      <c r="B327" t="s">
        <v>728</v>
      </c>
      <c r="C327" t="str">
        <f t="shared" si="7"/>
        <v>Jennifer Allen</v>
      </c>
      <c r="D327" t="s">
        <v>19</v>
      </c>
      <c r="E327">
        <v>58</v>
      </c>
      <c r="F327" t="s">
        <v>184</v>
      </c>
      <c r="G327" t="s">
        <v>68</v>
      </c>
      <c r="H327" t="s">
        <v>48</v>
      </c>
      <c r="I327">
        <v>40</v>
      </c>
      <c r="J327">
        <v>75</v>
      </c>
      <c r="K327">
        <v>3.4</v>
      </c>
      <c r="L327">
        <v>1</v>
      </c>
      <c r="M327" s="1">
        <v>1</v>
      </c>
    </row>
    <row r="328" spans="1:13" x14ac:dyDescent="0.3">
      <c r="A328" t="s">
        <v>729</v>
      </c>
      <c r="B328" t="s">
        <v>730</v>
      </c>
      <c r="C328" t="str">
        <f t="shared" si="7"/>
        <v>Mark Hudson</v>
      </c>
      <c r="D328" t="s">
        <v>26</v>
      </c>
      <c r="E328">
        <v>30</v>
      </c>
      <c r="F328" t="s">
        <v>67</v>
      </c>
      <c r="G328" t="s">
        <v>68</v>
      </c>
      <c r="H328" t="s">
        <v>34</v>
      </c>
      <c r="I328">
        <v>1</v>
      </c>
      <c r="J328">
        <v>40</v>
      </c>
      <c r="K328">
        <v>1.6</v>
      </c>
      <c r="L328" t="b">
        <v>1</v>
      </c>
      <c r="M328">
        <v>100</v>
      </c>
    </row>
    <row r="329" spans="1:13" x14ac:dyDescent="0.3">
      <c r="A329" t="s">
        <v>731</v>
      </c>
      <c r="B329" t="s">
        <v>732</v>
      </c>
      <c r="C329" t="str">
        <f t="shared" si="7"/>
        <v>Jessica Smith</v>
      </c>
      <c r="D329" t="s">
        <v>73</v>
      </c>
      <c r="E329">
        <v>47</v>
      </c>
      <c r="F329" t="s">
        <v>169</v>
      </c>
      <c r="G329" t="s">
        <v>170</v>
      </c>
      <c r="H329" t="s">
        <v>22</v>
      </c>
      <c r="I329">
        <v>5</v>
      </c>
      <c r="J329">
        <v>20</v>
      </c>
      <c r="K329">
        <v>1.9</v>
      </c>
      <c r="L329">
        <v>0</v>
      </c>
    </row>
    <row r="330" spans="1:13" x14ac:dyDescent="0.3">
      <c r="A330" t="s">
        <v>733</v>
      </c>
      <c r="B330" t="s">
        <v>734</v>
      </c>
      <c r="C330" t="str">
        <f t="shared" si="7"/>
        <v>Mike Dean</v>
      </c>
      <c r="D330" t="s">
        <v>26</v>
      </c>
      <c r="E330">
        <v>44</v>
      </c>
      <c r="F330" t="s">
        <v>67</v>
      </c>
      <c r="G330" t="s">
        <v>68</v>
      </c>
      <c r="H330" t="s">
        <v>42</v>
      </c>
      <c r="I330">
        <v>4</v>
      </c>
      <c r="J330" s="2">
        <v>50</v>
      </c>
      <c r="K330">
        <v>0</v>
      </c>
      <c r="L330" t="b">
        <v>1</v>
      </c>
      <c r="M330" s="1">
        <v>0.83</v>
      </c>
    </row>
    <row r="331" spans="1:13" x14ac:dyDescent="0.3">
      <c r="A331" t="s">
        <v>735</v>
      </c>
      <c r="B331" t="s">
        <v>736</v>
      </c>
      <c r="C331" t="str">
        <f t="shared" si="7"/>
        <v>Jose Wilson</v>
      </c>
      <c r="D331" t="s">
        <v>88</v>
      </c>
      <c r="E331">
        <v>56</v>
      </c>
      <c r="F331" t="s">
        <v>14</v>
      </c>
      <c r="G331" t="s">
        <v>15</v>
      </c>
      <c r="H331" t="s">
        <v>110</v>
      </c>
      <c r="I331">
        <v>13</v>
      </c>
      <c r="J331" t="s">
        <v>52</v>
      </c>
      <c r="L331">
        <v>1</v>
      </c>
      <c r="M331" s="1">
        <v>0.87</v>
      </c>
    </row>
    <row r="332" spans="1:13" x14ac:dyDescent="0.3">
      <c r="A332" t="s">
        <v>737</v>
      </c>
      <c r="B332" t="s">
        <v>738</v>
      </c>
      <c r="C332" t="str">
        <f t="shared" si="7"/>
        <v>Tammy Hill</v>
      </c>
      <c r="D332" t="s">
        <v>73</v>
      </c>
      <c r="E332">
        <v>53</v>
      </c>
      <c r="F332" t="s">
        <v>55</v>
      </c>
      <c r="G332" t="s">
        <v>21</v>
      </c>
      <c r="H332" t="s">
        <v>22</v>
      </c>
      <c r="I332">
        <v>33</v>
      </c>
      <c r="J332" s="2">
        <v>100</v>
      </c>
      <c r="L332" t="s">
        <v>154</v>
      </c>
      <c r="M332" s="1">
        <v>0.75</v>
      </c>
    </row>
    <row r="333" spans="1:13" x14ac:dyDescent="0.3">
      <c r="A333" t="s">
        <v>739</v>
      </c>
      <c r="B333" t="s">
        <v>740</v>
      </c>
      <c r="C333" t="str">
        <f t="shared" si="7"/>
        <v>Nathaniel Flores</v>
      </c>
      <c r="D333" t="s">
        <v>58</v>
      </c>
      <c r="E333">
        <v>59</v>
      </c>
      <c r="F333" t="s">
        <v>63</v>
      </c>
      <c r="G333" t="s">
        <v>21</v>
      </c>
      <c r="H333" t="s">
        <v>22</v>
      </c>
      <c r="I333">
        <v>22</v>
      </c>
      <c r="J333">
        <v>40</v>
      </c>
      <c r="K333">
        <v>1.1000000000000001</v>
      </c>
      <c r="L333" t="s">
        <v>64</v>
      </c>
      <c r="M333" s="1">
        <v>0.61</v>
      </c>
    </row>
    <row r="334" spans="1:13" x14ac:dyDescent="0.3">
      <c r="A334" t="s">
        <v>741</v>
      </c>
      <c r="B334" t="s">
        <v>742</v>
      </c>
      <c r="C334" t="str">
        <f t="shared" si="7"/>
        <v>Edwin Carter</v>
      </c>
      <c r="D334" t="s">
        <v>88</v>
      </c>
      <c r="E334">
        <v>60</v>
      </c>
      <c r="F334" t="s">
        <v>55</v>
      </c>
      <c r="G334" t="s">
        <v>21</v>
      </c>
      <c r="H334" t="s">
        <v>85</v>
      </c>
      <c r="I334">
        <v>34</v>
      </c>
      <c r="K334">
        <v>2.5</v>
      </c>
      <c r="L334" t="b">
        <v>0</v>
      </c>
      <c r="M334" s="1">
        <v>0.93</v>
      </c>
    </row>
    <row r="335" spans="1:13" x14ac:dyDescent="0.3">
      <c r="A335" t="s">
        <v>743</v>
      </c>
      <c r="B335" t="s">
        <v>744</v>
      </c>
      <c r="C335" t="str">
        <f t="shared" si="7"/>
        <v>Patricia Miller</v>
      </c>
      <c r="D335" t="s">
        <v>19</v>
      </c>
      <c r="E335">
        <v>33</v>
      </c>
      <c r="F335" t="s">
        <v>27</v>
      </c>
      <c r="G335" t="s">
        <v>28</v>
      </c>
      <c r="H335" t="s">
        <v>22</v>
      </c>
      <c r="I335">
        <v>8</v>
      </c>
      <c r="J335" t="s">
        <v>105</v>
      </c>
      <c r="K335">
        <v>3.6</v>
      </c>
      <c r="L335">
        <v>1</v>
      </c>
    </row>
    <row r="336" spans="1:13" x14ac:dyDescent="0.3">
      <c r="A336" t="s">
        <v>745</v>
      </c>
      <c r="B336" t="s">
        <v>746</v>
      </c>
      <c r="C336" t="str">
        <f t="shared" si="7"/>
        <v>Rebecca Schneider</v>
      </c>
      <c r="D336" t="s">
        <v>73</v>
      </c>
      <c r="E336">
        <v>21</v>
      </c>
      <c r="F336" t="s">
        <v>67</v>
      </c>
      <c r="G336" t="s">
        <v>68</v>
      </c>
      <c r="H336" t="s">
        <v>34</v>
      </c>
      <c r="I336">
        <v>1</v>
      </c>
      <c r="J336" t="s">
        <v>307</v>
      </c>
      <c r="L336" t="b">
        <v>0</v>
      </c>
      <c r="M336" s="1">
        <v>0.99</v>
      </c>
    </row>
    <row r="337" spans="1:13" x14ac:dyDescent="0.3">
      <c r="A337" t="s">
        <v>747</v>
      </c>
      <c r="B337" t="s">
        <v>748</v>
      </c>
      <c r="C337" t="str">
        <f t="shared" si="7"/>
        <v>John Greene</v>
      </c>
      <c r="D337" t="s">
        <v>26</v>
      </c>
      <c r="E337">
        <v>54</v>
      </c>
      <c r="F337" t="s">
        <v>63</v>
      </c>
      <c r="G337" t="s">
        <v>21</v>
      </c>
      <c r="H337" t="s">
        <v>69</v>
      </c>
      <c r="I337">
        <v>20</v>
      </c>
      <c r="J337">
        <v>50</v>
      </c>
      <c r="K337">
        <v>4.4000000000000004</v>
      </c>
      <c r="L337">
        <v>0</v>
      </c>
      <c r="M337">
        <v>73</v>
      </c>
    </row>
    <row r="338" spans="1:13" x14ac:dyDescent="0.3">
      <c r="A338" t="s">
        <v>749</v>
      </c>
      <c r="B338" t="s">
        <v>750</v>
      </c>
      <c r="C338" t="str">
        <f t="shared" si="7"/>
        <v>Brittany Mcdowell</v>
      </c>
      <c r="D338" t="s">
        <v>73</v>
      </c>
      <c r="E338">
        <v>33</v>
      </c>
      <c r="F338" t="s">
        <v>55</v>
      </c>
      <c r="G338" t="s">
        <v>21</v>
      </c>
      <c r="H338" t="s">
        <v>29</v>
      </c>
      <c r="I338">
        <v>11</v>
      </c>
      <c r="J338">
        <v>75</v>
      </c>
      <c r="K338">
        <v>2.1</v>
      </c>
      <c r="L338">
        <v>0</v>
      </c>
      <c r="M338" s="1">
        <v>0.96</v>
      </c>
    </row>
    <row r="339" spans="1:13" x14ac:dyDescent="0.3">
      <c r="A339" t="s">
        <v>751</v>
      </c>
      <c r="B339" t="s">
        <v>752</v>
      </c>
      <c r="C339" t="str">
        <f t="shared" si="7"/>
        <v>Lori Miller</v>
      </c>
      <c r="D339" t="s">
        <v>73</v>
      </c>
      <c r="E339">
        <v>57</v>
      </c>
      <c r="F339" t="s">
        <v>59</v>
      </c>
      <c r="G339" t="s">
        <v>60</v>
      </c>
      <c r="H339" t="s">
        <v>48</v>
      </c>
      <c r="I339">
        <v>2</v>
      </c>
      <c r="J339">
        <v>40</v>
      </c>
      <c r="K339">
        <v>0</v>
      </c>
      <c r="L339" t="b">
        <v>0</v>
      </c>
      <c r="M339" s="1">
        <v>0.6</v>
      </c>
    </row>
    <row r="340" spans="1:13" x14ac:dyDescent="0.3">
      <c r="A340" t="s">
        <v>753</v>
      </c>
      <c r="B340" t="s">
        <v>754</v>
      </c>
      <c r="C340" t="str">
        <f t="shared" si="7"/>
        <v>Joseph Robinson</v>
      </c>
      <c r="D340" t="s">
        <v>88</v>
      </c>
      <c r="E340">
        <v>36</v>
      </c>
      <c r="F340" t="s">
        <v>108</v>
      </c>
      <c r="G340" t="s">
        <v>109</v>
      </c>
      <c r="H340" t="s">
        <v>29</v>
      </c>
      <c r="I340">
        <v>6</v>
      </c>
      <c r="J340">
        <v>20</v>
      </c>
      <c r="K340">
        <v>1</v>
      </c>
      <c r="L340" t="s">
        <v>70</v>
      </c>
      <c r="M340" s="1">
        <v>0.64</v>
      </c>
    </row>
    <row r="341" spans="1:13" x14ac:dyDescent="0.3">
      <c r="A341" t="s">
        <v>755</v>
      </c>
      <c r="B341" t="s">
        <v>756</v>
      </c>
      <c r="C341" t="str">
        <f t="shared" si="7"/>
        <v>Aaron Pruitt</v>
      </c>
      <c r="D341" t="s">
        <v>93</v>
      </c>
      <c r="E341">
        <v>50</v>
      </c>
      <c r="F341" t="s">
        <v>27</v>
      </c>
      <c r="G341" t="s">
        <v>28</v>
      </c>
      <c r="H341" t="s">
        <v>16</v>
      </c>
      <c r="I341">
        <v>20</v>
      </c>
      <c r="J341" t="s">
        <v>105</v>
      </c>
      <c r="K341">
        <v>0</v>
      </c>
      <c r="L341">
        <v>0</v>
      </c>
    </row>
    <row r="342" spans="1:13" x14ac:dyDescent="0.3">
      <c r="A342" t="s">
        <v>757</v>
      </c>
      <c r="B342" t="s">
        <v>758</v>
      </c>
      <c r="C342" t="str">
        <f t="shared" si="7"/>
        <v>Victoria Miller</v>
      </c>
      <c r="D342" t="s">
        <v>13</v>
      </c>
      <c r="E342">
        <v>37</v>
      </c>
      <c r="F342" t="s">
        <v>123</v>
      </c>
      <c r="G342" t="s">
        <v>21</v>
      </c>
      <c r="H342" t="s">
        <v>85</v>
      </c>
      <c r="J342" t="s">
        <v>307</v>
      </c>
      <c r="K342">
        <v>4.9000000000000004</v>
      </c>
      <c r="L342" t="s">
        <v>30</v>
      </c>
    </row>
    <row r="343" spans="1:13" x14ac:dyDescent="0.3">
      <c r="A343" t="s">
        <v>759</v>
      </c>
      <c r="B343" t="s">
        <v>760</v>
      </c>
      <c r="C343" t="str">
        <f t="shared" si="7"/>
        <v>Clarence Vega</v>
      </c>
      <c r="D343" t="s">
        <v>88</v>
      </c>
      <c r="E343">
        <v>53</v>
      </c>
      <c r="F343" t="s">
        <v>14</v>
      </c>
      <c r="G343" t="s">
        <v>15</v>
      </c>
      <c r="H343" t="s">
        <v>42</v>
      </c>
      <c r="I343">
        <v>4</v>
      </c>
      <c r="J343">
        <v>30</v>
      </c>
      <c r="K343">
        <v>4.7</v>
      </c>
      <c r="L343" t="s">
        <v>154</v>
      </c>
      <c r="M343" s="1">
        <v>0.99</v>
      </c>
    </row>
    <row r="344" spans="1:13" x14ac:dyDescent="0.3">
      <c r="A344" t="s">
        <v>761</v>
      </c>
      <c r="B344" t="s">
        <v>762</v>
      </c>
      <c r="C344" t="str">
        <f t="shared" si="7"/>
        <v>Deborah Day</v>
      </c>
      <c r="D344" t="s">
        <v>73</v>
      </c>
      <c r="E344">
        <v>22</v>
      </c>
      <c r="F344" t="s">
        <v>14</v>
      </c>
      <c r="G344" t="s">
        <v>15</v>
      </c>
      <c r="H344" t="s">
        <v>16</v>
      </c>
      <c r="I344">
        <v>3</v>
      </c>
      <c r="J344" t="s">
        <v>52</v>
      </c>
      <c r="K344">
        <v>2.1</v>
      </c>
      <c r="L344">
        <v>0</v>
      </c>
    </row>
    <row r="345" spans="1:13" x14ac:dyDescent="0.3">
      <c r="A345" t="s">
        <v>763</v>
      </c>
      <c r="B345" t="s">
        <v>764</v>
      </c>
      <c r="C345" t="str">
        <f t="shared" si="7"/>
        <v>Nicole Rocha</v>
      </c>
      <c r="D345" t="s">
        <v>73</v>
      </c>
      <c r="E345">
        <v>55</v>
      </c>
      <c r="F345" t="s">
        <v>40</v>
      </c>
      <c r="G345" t="s">
        <v>41</v>
      </c>
      <c r="H345" t="s">
        <v>22</v>
      </c>
      <c r="I345">
        <v>33</v>
      </c>
      <c r="J345">
        <v>40</v>
      </c>
      <c r="K345">
        <v>1.5</v>
      </c>
      <c r="L345" t="s">
        <v>70</v>
      </c>
      <c r="M345" s="1">
        <v>0.71</v>
      </c>
    </row>
    <row r="346" spans="1:13" x14ac:dyDescent="0.3">
      <c r="A346" t="s">
        <v>765</v>
      </c>
      <c r="B346" t="s">
        <v>766</v>
      </c>
      <c r="C346" t="str">
        <f t="shared" si="7"/>
        <v>Elijah Green</v>
      </c>
      <c r="D346" t="s">
        <v>58</v>
      </c>
      <c r="E346">
        <v>22</v>
      </c>
      <c r="F346" t="s">
        <v>20</v>
      </c>
      <c r="G346" t="s">
        <v>21</v>
      </c>
      <c r="H346" t="s">
        <v>74</v>
      </c>
      <c r="I346">
        <v>1</v>
      </c>
      <c r="K346">
        <v>2.6</v>
      </c>
      <c r="L346">
        <v>0</v>
      </c>
      <c r="M346" s="1">
        <v>0.72</v>
      </c>
    </row>
    <row r="347" spans="1:13" x14ac:dyDescent="0.3">
      <c r="A347" t="s">
        <v>767</v>
      </c>
      <c r="B347" t="s">
        <v>768</v>
      </c>
      <c r="C347" t="str">
        <f t="shared" si="7"/>
        <v>Emily Johnson</v>
      </c>
      <c r="D347" t="s">
        <v>13</v>
      </c>
      <c r="E347">
        <v>45</v>
      </c>
      <c r="F347" t="s">
        <v>59</v>
      </c>
      <c r="G347" t="s">
        <v>60</v>
      </c>
      <c r="H347" t="s">
        <v>34</v>
      </c>
      <c r="I347">
        <v>23</v>
      </c>
      <c r="J347" t="s">
        <v>94</v>
      </c>
      <c r="K347">
        <v>0</v>
      </c>
      <c r="L347">
        <v>0</v>
      </c>
      <c r="M347" s="1">
        <v>0.66</v>
      </c>
    </row>
    <row r="348" spans="1:13" x14ac:dyDescent="0.3">
      <c r="A348" t="s">
        <v>769</v>
      </c>
      <c r="B348" t="s">
        <v>770</v>
      </c>
      <c r="C348" t="str">
        <f t="shared" si="7"/>
        <v>Richard Velasquez Jr.</v>
      </c>
      <c r="D348" t="s">
        <v>88</v>
      </c>
      <c r="E348">
        <v>36</v>
      </c>
      <c r="F348" t="s">
        <v>130</v>
      </c>
      <c r="G348" t="s">
        <v>131</v>
      </c>
      <c r="H348" t="s">
        <v>48</v>
      </c>
      <c r="I348">
        <v>13</v>
      </c>
      <c r="J348">
        <v>40</v>
      </c>
      <c r="L348" t="s">
        <v>30</v>
      </c>
      <c r="M348" s="1">
        <v>0.78</v>
      </c>
    </row>
    <row r="349" spans="1:13" x14ac:dyDescent="0.3">
      <c r="A349" t="s">
        <v>771</v>
      </c>
      <c r="B349" t="s">
        <v>772</v>
      </c>
      <c r="C349" t="str">
        <f t="shared" si="7"/>
        <v>Kurt Wilson</v>
      </c>
      <c r="D349" t="s">
        <v>45</v>
      </c>
      <c r="E349">
        <v>23</v>
      </c>
      <c r="F349" t="s">
        <v>20</v>
      </c>
      <c r="G349" t="s">
        <v>21</v>
      </c>
      <c r="H349" t="s">
        <v>85</v>
      </c>
      <c r="I349">
        <v>1</v>
      </c>
      <c r="J349" t="s">
        <v>307</v>
      </c>
      <c r="K349">
        <v>4</v>
      </c>
      <c r="L349" t="s">
        <v>70</v>
      </c>
      <c r="M349">
        <v>100</v>
      </c>
    </row>
    <row r="350" spans="1:13" x14ac:dyDescent="0.3">
      <c r="A350" t="s">
        <v>773</v>
      </c>
      <c r="B350" t="s">
        <v>774</v>
      </c>
      <c r="C350" t="str">
        <f t="shared" si="7"/>
        <v>Jeremiah Rodriguez</v>
      </c>
      <c r="D350" t="s">
        <v>88</v>
      </c>
      <c r="E350">
        <v>55</v>
      </c>
      <c r="F350" t="s">
        <v>14</v>
      </c>
      <c r="G350" t="s">
        <v>15</v>
      </c>
      <c r="H350" t="s">
        <v>85</v>
      </c>
      <c r="I350">
        <v>15</v>
      </c>
      <c r="J350">
        <v>40</v>
      </c>
      <c r="K350">
        <v>4.5</v>
      </c>
    </row>
    <row r="351" spans="1:13" x14ac:dyDescent="0.3">
      <c r="A351" t="s">
        <v>775</v>
      </c>
      <c r="B351" t="s">
        <v>776</v>
      </c>
      <c r="C351" t="str">
        <f t="shared" si="7"/>
        <v>Lauren Lang</v>
      </c>
      <c r="D351" t="s">
        <v>33</v>
      </c>
      <c r="E351">
        <v>50</v>
      </c>
      <c r="F351" t="s">
        <v>103</v>
      </c>
      <c r="G351" t="s">
        <v>104</v>
      </c>
      <c r="H351" t="s">
        <v>22</v>
      </c>
      <c r="I351">
        <v>18</v>
      </c>
      <c r="J351">
        <v>75</v>
      </c>
      <c r="K351">
        <v>3.8</v>
      </c>
      <c r="L351">
        <v>0</v>
      </c>
      <c r="M351">
        <v>67</v>
      </c>
    </row>
    <row r="352" spans="1:13" x14ac:dyDescent="0.3">
      <c r="A352" t="s">
        <v>777</v>
      </c>
      <c r="B352" t="s">
        <v>778</v>
      </c>
      <c r="C352" t="str">
        <f t="shared" si="7"/>
        <v>Matthew Phillips</v>
      </c>
      <c r="D352" t="s">
        <v>26</v>
      </c>
      <c r="E352">
        <v>48</v>
      </c>
      <c r="F352" t="s">
        <v>55</v>
      </c>
      <c r="G352" t="s">
        <v>21</v>
      </c>
      <c r="H352" t="s">
        <v>110</v>
      </c>
      <c r="I352">
        <v>21</v>
      </c>
      <c r="J352">
        <v>50</v>
      </c>
      <c r="K352">
        <v>4</v>
      </c>
      <c r="L352">
        <v>0</v>
      </c>
      <c r="M352" s="1">
        <v>0.78</v>
      </c>
    </row>
    <row r="353" spans="1:13" x14ac:dyDescent="0.3">
      <c r="A353" t="s">
        <v>779</v>
      </c>
      <c r="B353" t="s">
        <v>780</v>
      </c>
      <c r="C353" t="str">
        <f t="shared" si="7"/>
        <v>Michael Andersen</v>
      </c>
      <c r="D353" t="s">
        <v>58</v>
      </c>
      <c r="E353">
        <v>23</v>
      </c>
      <c r="F353" t="s">
        <v>40</v>
      </c>
      <c r="G353" t="s">
        <v>41</v>
      </c>
      <c r="H353" t="s">
        <v>85</v>
      </c>
      <c r="I353">
        <v>1</v>
      </c>
      <c r="J353" s="2">
        <v>40</v>
      </c>
      <c r="K353">
        <v>4.9000000000000004</v>
      </c>
      <c r="L353" t="s">
        <v>64</v>
      </c>
      <c r="M353" s="1">
        <v>0.78</v>
      </c>
    </row>
    <row r="354" spans="1:13" x14ac:dyDescent="0.3">
      <c r="A354" t="s">
        <v>781</v>
      </c>
      <c r="B354" t="s">
        <v>782</v>
      </c>
      <c r="C354" t="str">
        <f t="shared" si="7"/>
        <v>Amanda Mayo</v>
      </c>
      <c r="D354" t="s">
        <v>13</v>
      </c>
      <c r="E354">
        <v>49</v>
      </c>
      <c r="F354" t="s">
        <v>123</v>
      </c>
      <c r="G354" t="s">
        <v>21</v>
      </c>
      <c r="H354" t="s">
        <v>34</v>
      </c>
      <c r="I354">
        <v>25</v>
      </c>
      <c r="J354" s="2">
        <v>30</v>
      </c>
      <c r="K354">
        <v>3.4</v>
      </c>
      <c r="L354">
        <v>0</v>
      </c>
      <c r="M354" s="1">
        <v>0.75</v>
      </c>
    </row>
    <row r="355" spans="1:13" x14ac:dyDescent="0.3">
      <c r="A355" t="s">
        <v>783</v>
      </c>
      <c r="B355" t="s">
        <v>784</v>
      </c>
      <c r="C355" t="str">
        <f t="shared" si="7"/>
        <v>Jessica Vance</v>
      </c>
      <c r="D355" t="s">
        <v>33</v>
      </c>
      <c r="E355">
        <v>47</v>
      </c>
      <c r="F355" t="s">
        <v>14</v>
      </c>
      <c r="G355" t="s">
        <v>15</v>
      </c>
      <c r="H355" t="s">
        <v>74</v>
      </c>
      <c r="I355">
        <v>12</v>
      </c>
      <c r="J355">
        <v>50</v>
      </c>
      <c r="K355">
        <v>2.1</v>
      </c>
      <c r="L355" t="b">
        <v>1</v>
      </c>
      <c r="M355" s="1">
        <v>0.67</v>
      </c>
    </row>
    <row r="356" spans="1:13" x14ac:dyDescent="0.3">
      <c r="A356" t="s">
        <v>785</v>
      </c>
      <c r="B356" t="s">
        <v>786</v>
      </c>
      <c r="C356" t="str">
        <f t="shared" si="7"/>
        <v>Alexa Gallegos</v>
      </c>
      <c r="D356" t="s">
        <v>73</v>
      </c>
      <c r="E356">
        <v>56</v>
      </c>
      <c r="F356" t="s">
        <v>81</v>
      </c>
      <c r="G356" t="s">
        <v>82</v>
      </c>
      <c r="H356" t="s">
        <v>29</v>
      </c>
      <c r="I356">
        <v>32</v>
      </c>
      <c r="J356" t="s">
        <v>52</v>
      </c>
      <c r="K356">
        <v>0</v>
      </c>
      <c r="L356">
        <v>1</v>
      </c>
      <c r="M356" s="1">
        <v>0.86</v>
      </c>
    </row>
    <row r="357" spans="1:13" x14ac:dyDescent="0.3">
      <c r="A357" t="s">
        <v>787</v>
      </c>
      <c r="B357" t="s">
        <v>788</v>
      </c>
      <c r="C357" t="str">
        <f t="shared" si="7"/>
        <v>Charles Pratt</v>
      </c>
      <c r="D357" t="s">
        <v>58</v>
      </c>
      <c r="E357">
        <v>58</v>
      </c>
      <c r="F357" t="s">
        <v>67</v>
      </c>
      <c r="G357" t="s">
        <v>68</v>
      </c>
      <c r="H357" t="s">
        <v>69</v>
      </c>
      <c r="J357">
        <v>100</v>
      </c>
      <c r="K357">
        <v>4.5</v>
      </c>
      <c r="L357" t="s">
        <v>154</v>
      </c>
      <c r="M357">
        <v>77</v>
      </c>
    </row>
    <row r="358" spans="1:13" x14ac:dyDescent="0.3">
      <c r="A358" t="s">
        <v>789</v>
      </c>
      <c r="B358" t="s">
        <v>790</v>
      </c>
      <c r="C358" t="str">
        <f t="shared" si="7"/>
        <v>Brian Baker</v>
      </c>
      <c r="D358" t="s">
        <v>45</v>
      </c>
      <c r="E358">
        <v>32</v>
      </c>
      <c r="F358" t="s">
        <v>108</v>
      </c>
      <c r="G358" t="s">
        <v>109</v>
      </c>
      <c r="H358" t="s">
        <v>69</v>
      </c>
      <c r="I358">
        <v>10</v>
      </c>
      <c r="J358" s="2">
        <v>30</v>
      </c>
      <c r="K358">
        <v>3.8</v>
      </c>
      <c r="L358">
        <v>0</v>
      </c>
      <c r="M358" s="1">
        <v>0.61</v>
      </c>
    </row>
    <row r="359" spans="1:13" x14ac:dyDescent="0.3">
      <c r="A359" t="s">
        <v>791</v>
      </c>
      <c r="B359" t="s">
        <v>792</v>
      </c>
      <c r="C359" t="str">
        <f t="shared" si="7"/>
        <v>Christina Norman</v>
      </c>
      <c r="D359" t="s">
        <v>73</v>
      </c>
      <c r="E359">
        <v>52</v>
      </c>
      <c r="F359" t="s">
        <v>89</v>
      </c>
      <c r="G359" t="s">
        <v>90</v>
      </c>
      <c r="H359" t="s">
        <v>69</v>
      </c>
      <c r="I359">
        <v>0</v>
      </c>
      <c r="K359">
        <v>4.3</v>
      </c>
      <c r="L359">
        <v>0</v>
      </c>
      <c r="M359" s="1">
        <v>0.9</v>
      </c>
    </row>
    <row r="360" spans="1:13" x14ac:dyDescent="0.3">
      <c r="A360" t="s">
        <v>793</v>
      </c>
      <c r="B360" t="s">
        <v>794</v>
      </c>
      <c r="C360" t="str">
        <f t="shared" si="7"/>
        <v>Laura Kelly</v>
      </c>
      <c r="D360" t="s">
        <v>19</v>
      </c>
      <c r="E360">
        <v>22</v>
      </c>
      <c r="F360" t="s">
        <v>169</v>
      </c>
      <c r="G360" t="s">
        <v>170</v>
      </c>
      <c r="H360" t="s">
        <v>48</v>
      </c>
      <c r="I360">
        <v>1</v>
      </c>
      <c r="J360">
        <v>50</v>
      </c>
      <c r="K360">
        <v>0</v>
      </c>
      <c r="M360" s="1">
        <v>0.98</v>
      </c>
    </row>
    <row r="361" spans="1:13" x14ac:dyDescent="0.3">
      <c r="A361" t="s">
        <v>795</v>
      </c>
      <c r="B361" t="s">
        <v>796</v>
      </c>
      <c r="C361" t="str">
        <f t="shared" si="7"/>
        <v>John Webb</v>
      </c>
      <c r="D361" t="s">
        <v>93</v>
      </c>
      <c r="E361">
        <v>20</v>
      </c>
      <c r="F361" t="s">
        <v>89</v>
      </c>
      <c r="G361" t="s">
        <v>90</v>
      </c>
      <c r="H361" t="s">
        <v>74</v>
      </c>
      <c r="I361">
        <v>2</v>
      </c>
      <c r="J361">
        <v>30</v>
      </c>
      <c r="L361">
        <v>1</v>
      </c>
      <c r="M361" s="1">
        <v>0.99</v>
      </c>
    </row>
    <row r="362" spans="1:13" x14ac:dyDescent="0.3">
      <c r="A362" t="s">
        <v>797</v>
      </c>
      <c r="B362" t="s">
        <v>798</v>
      </c>
      <c r="C362" t="str">
        <f t="shared" si="7"/>
        <v>Christopher Burton</v>
      </c>
      <c r="D362" t="s">
        <v>88</v>
      </c>
      <c r="E362">
        <v>56</v>
      </c>
      <c r="F362" t="s">
        <v>40</v>
      </c>
      <c r="G362" t="s">
        <v>41</v>
      </c>
      <c r="H362" t="s">
        <v>48</v>
      </c>
      <c r="I362">
        <v>9</v>
      </c>
      <c r="J362" t="s">
        <v>52</v>
      </c>
      <c r="K362">
        <v>2.6</v>
      </c>
      <c r="L362">
        <v>0</v>
      </c>
      <c r="M362" s="1">
        <v>0.61</v>
      </c>
    </row>
    <row r="363" spans="1:13" x14ac:dyDescent="0.3">
      <c r="A363" t="s">
        <v>799</v>
      </c>
      <c r="B363" t="s">
        <v>800</v>
      </c>
      <c r="C363" t="str">
        <f t="shared" si="7"/>
        <v>Bradley Aguilar</v>
      </c>
      <c r="D363" t="s">
        <v>93</v>
      </c>
      <c r="E363">
        <v>41</v>
      </c>
      <c r="F363" t="s">
        <v>81</v>
      </c>
      <c r="G363" t="s">
        <v>82</v>
      </c>
      <c r="H363" t="s">
        <v>48</v>
      </c>
      <c r="I363">
        <v>22</v>
      </c>
      <c r="J363" t="s">
        <v>94</v>
      </c>
      <c r="K363">
        <v>1.6</v>
      </c>
      <c r="L363">
        <v>1</v>
      </c>
      <c r="M363" s="1">
        <v>0.61</v>
      </c>
    </row>
    <row r="364" spans="1:13" x14ac:dyDescent="0.3">
      <c r="A364" t="s">
        <v>801</v>
      </c>
      <c r="B364" t="s">
        <v>802</v>
      </c>
      <c r="C364" t="str">
        <f t="shared" si="7"/>
        <v>Arthur Vasquez</v>
      </c>
      <c r="D364" t="s">
        <v>93</v>
      </c>
      <c r="E364">
        <v>25</v>
      </c>
      <c r="F364" t="s">
        <v>67</v>
      </c>
      <c r="G364" t="s">
        <v>68</v>
      </c>
      <c r="H364" t="s">
        <v>16</v>
      </c>
      <c r="I364">
        <v>5</v>
      </c>
      <c r="J364" s="2">
        <v>30</v>
      </c>
      <c r="K364">
        <v>2.2999999999999998</v>
      </c>
      <c r="L364">
        <v>0</v>
      </c>
      <c r="M364" s="1">
        <v>0.91</v>
      </c>
    </row>
    <row r="365" spans="1:13" x14ac:dyDescent="0.3">
      <c r="A365" t="s">
        <v>803</v>
      </c>
      <c r="B365" t="s">
        <v>804</v>
      </c>
      <c r="C365" t="str">
        <f t="shared" si="7"/>
        <v>Angela Castro</v>
      </c>
      <c r="D365" t="s">
        <v>19</v>
      </c>
      <c r="E365">
        <v>44</v>
      </c>
      <c r="F365" t="s">
        <v>123</v>
      </c>
      <c r="G365" t="s">
        <v>21</v>
      </c>
      <c r="H365" t="s">
        <v>74</v>
      </c>
      <c r="I365">
        <v>6</v>
      </c>
      <c r="J365">
        <v>75</v>
      </c>
      <c r="K365">
        <v>4.5999999999999996</v>
      </c>
      <c r="L365" t="s">
        <v>70</v>
      </c>
      <c r="M365">
        <v>72</v>
      </c>
    </row>
    <row r="366" spans="1:13" x14ac:dyDescent="0.3">
      <c r="A366" t="s">
        <v>805</v>
      </c>
      <c r="B366" t="s">
        <v>806</v>
      </c>
      <c r="C366" t="str">
        <f t="shared" si="7"/>
        <v>Summer Yoder</v>
      </c>
      <c r="D366" t="s">
        <v>37</v>
      </c>
      <c r="E366">
        <v>46</v>
      </c>
      <c r="F366" t="s">
        <v>20</v>
      </c>
      <c r="G366" t="s">
        <v>21</v>
      </c>
      <c r="H366" t="s">
        <v>34</v>
      </c>
      <c r="I366">
        <v>26</v>
      </c>
      <c r="J366" s="2">
        <v>100</v>
      </c>
      <c r="K366">
        <v>2.1</v>
      </c>
    </row>
    <row r="367" spans="1:13" x14ac:dyDescent="0.3">
      <c r="A367" t="s">
        <v>807</v>
      </c>
      <c r="B367" t="s">
        <v>808</v>
      </c>
      <c r="C367" t="str">
        <f t="shared" si="7"/>
        <v>Jackie Allen</v>
      </c>
      <c r="D367" t="s">
        <v>37</v>
      </c>
      <c r="E367">
        <v>40</v>
      </c>
      <c r="F367" t="s">
        <v>108</v>
      </c>
      <c r="G367" t="s">
        <v>109</v>
      </c>
      <c r="H367" t="s">
        <v>16</v>
      </c>
      <c r="J367">
        <v>40</v>
      </c>
      <c r="K367">
        <v>1.5</v>
      </c>
      <c r="L367" t="b">
        <v>0</v>
      </c>
      <c r="M367" s="1">
        <v>0.96</v>
      </c>
    </row>
    <row r="368" spans="1:13" x14ac:dyDescent="0.3">
      <c r="A368" t="s">
        <v>809</v>
      </c>
      <c r="B368" t="s">
        <v>810</v>
      </c>
      <c r="C368" t="str">
        <f t="shared" si="7"/>
        <v>Brandon Williams</v>
      </c>
      <c r="D368" t="s">
        <v>26</v>
      </c>
      <c r="F368" t="s">
        <v>169</v>
      </c>
      <c r="G368" t="s">
        <v>170</v>
      </c>
      <c r="H368" t="s">
        <v>42</v>
      </c>
      <c r="I368">
        <v>9</v>
      </c>
      <c r="J368" t="s">
        <v>52</v>
      </c>
      <c r="K368">
        <v>1.7</v>
      </c>
      <c r="L368">
        <v>1</v>
      </c>
      <c r="M368">
        <v>72</v>
      </c>
    </row>
    <row r="369" spans="1:13" x14ac:dyDescent="0.3">
      <c r="A369" t="s">
        <v>811</v>
      </c>
      <c r="B369" t="s">
        <v>812</v>
      </c>
      <c r="C369" t="str">
        <f t="shared" si="7"/>
        <v>Manuel Torres</v>
      </c>
      <c r="D369" t="s">
        <v>88</v>
      </c>
      <c r="E369">
        <v>31</v>
      </c>
      <c r="F369" t="s">
        <v>81</v>
      </c>
      <c r="G369" t="s">
        <v>82</v>
      </c>
      <c r="H369" t="s">
        <v>48</v>
      </c>
      <c r="I369">
        <v>11</v>
      </c>
      <c r="K369">
        <v>3.3</v>
      </c>
      <c r="L369">
        <v>0</v>
      </c>
    </row>
    <row r="370" spans="1:13" x14ac:dyDescent="0.3">
      <c r="A370" t="s">
        <v>813</v>
      </c>
      <c r="B370" t="s">
        <v>814</v>
      </c>
      <c r="C370" t="str">
        <f t="shared" si="7"/>
        <v>Scott Keller</v>
      </c>
      <c r="D370" t="s">
        <v>45</v>
      </c>
      <c r="E370">
        <v>33</v>
      </c>
      <c r="F370" t="s">
        <v>108</v>
      </c>
      <c r="G370" t="s">
        <v>109</v>
      </c>
      <c r="H370" t="s">
        <v>110</v>
      </c>
      <c r="J370" s="2">
        <v>40</v>
      </c>
      <c r="K370">
        <v>4.3</v>
      </c>
      <c r="L370">
        <v>1</v>
      </c>
      <c r="M370" s="1">
        <v>0.63</v>
      </c>
    </row>
    <row r="371" spans="1:13" x14ac:dyDescent="0.3">
      <c r="A371" t="s">
        <v>815</v>
      </c>
      <c r="B371" t="s">
        <v>816</v>
      </c>
      <c r="C371" t="str">
        <f t="shared" si="7"/>
        <v>Deborah Brown</v>
      </c>
      <c r="D371" t="s">
        <v>19</v>
      </c>
      <c r="E371">
        <v>31</v>
      </c>
      <c r="F371" t="s">
        <v>103</v>
      </c>
      <c r="G371" t="s">
        <v>104</v>
      </c>
      <c r="H371" t="s">
        <v>110</v>
      </c>
      <c r="I371">
        <v>3</v>
      </c>
      <c r="J371" s="2">
        <v>20</v>
      </c>
      <c r="L371" t="s">
        <v>30</v>
      </c>
    </row>
    <row r="372" spans="1:13" x14ac:dyDescent="0.3">
      <c r="A372" t="s">
        <v>817</v>
      </c>
      <c r="B372" t="s">
        <v>818</v>
      </c>
      <c r="C372" t="str">
        <f t="shared" si="7"/>
        <v>Jennifer Lara</v>
      </c>
      <c r="D372" t="s">
        <v>33</v>
      </c>
      <c r="E372">
        <v>49</v>
      </c>
      <c r="F372" t="s">
        <v>14</v>
      </c>
      <c r="G372" t="s">
        <v>15</v>
      </c>
      <c r="H372" t="s">
        <v>48</v>
      </c>
      <c r="I372">
        <v>15</v>
      </c>
      <c r="J372" t="s">
        <v>49</v>
      </c>
      <c r="K372">
        <v>2.6</v>
      </c>
      <c r="L372" t="s">
        <v>30</v>
      </c>
      <c r="M372" s="1">
        <v>0.83</v>
      </c>
    </row>
    <row r="373" spans="1:13" x14ac:dyDescent="0.3">
      <c r="A373" t="s">
        <v>819</v>
      </c>
      <c r="B373" t="s">
        <v>820</v>
      </c>
      <c r="C373" t="str">
        <f t="shared" si="7"/>
        <v>Jason Scott</v>
      </c>
      <c r="D373" t="s">
        <v>26</v>
      </c>
      <c r="E373">
        <v>35</v>
      </c>
      <c r="F373" t="s">
        <v>173</v>
      </c>
      <c r="G373" t="s">
        <v>68</v>
      </c>
      <c r="H373" t="s">
        <v>29</v>
      </c>
      <c r="I373">
        <v>12</v>
      </c>
      <c r="J373" t="s">
        <v>307</v>
      </c>
      <c r="K373">
        <v>4.0999999999999996</v>
      </c>
      <c r="M373" s="1">
        <v>0.94</v>
      </c>
    </row>
    <row r="374" spans="1:13" x14ac:dyDescent="0.3">
      <c r="A374" t="s">
        <v>821</v>
      </c>
      <c r="B374" t="s">
        <v>822</v>
      </c>
      <c r="C374" t="str">
        <f t="shared" si="7"/>
        <v>Gregory Garrison</v>
      </c>
      <c r="D374" t="s">
        <v>88</v>
      </c>
      <c r="E374">
        <v>45</v>
      </c>
      <c r="F374" t="s">
        <v>89</v>
      </c>
      <c r="G374" t="s">
        <v>90</v>
      </c>
      <c r="H374" t="s">
        <v>48</v>
      </c>
      <c r="I374">
        <v>19</v>
      </c>
      <c r="J374" s="2">
        <v>40</v>
      </c>
      <c r="K374">
        <v>2.2000000000000002</v>
      </c>
      <c r="L374">
        <v>1</v>
      </c>
      <c r="M374" s="1">
        <v>0.78</v>
      </c>
    </row>
    <row r="375" spans="1:13" x14ac:dyDescent="0.3">
      <c r="A375" t="s">
        <v>823</v>
      </c>
      <c r="B375" t="s">
        <v>824</v>
      </c>
      <c r="C375" t="str">
        <f t="shared" si="7"/>
        <v>Chelsea Anderson</v>
      </c>
      <c r="D375" t="s">
        <v>37</v>
      </c>
      <c r="E375">
        <v>39</v>
      </c>
      <c r="F375" t="s">
        <v>40</v>
      </c>
      <c r="G375" t="s">
        <v>41</v>
      </c>
      <c r="H375" t="s">
        <v>48</v>
      </c>
      <c r="I375">
        <v>13</v>
      </c>
      <c r="J375">
        <v>30</v>
      </c>
      <c r="K375">
        <v>1.1000000000000001</v>
      </c>
      <c r="L375">
        <v>1</v>
      </c>
    </row>
    <row r="376" spans="1:13" x14ac:dyDescent="0.3">
      <c r="A376" t="s">
        <v>825</v>
      </c>
      <c r="B376" t="s">
        <v>826</v>
      </c>
      <c r="C376" t="str">
        <f t="shared" ref="C376:C398" si="8">B376</f>
        <v>Gerald Johnson</v>
      </c>
      <c r="D376" t="s">
        <v>58</v>
      </c>
      <c r="F376" t="s">
        <v>67</v>
      </c>
      <c r="G376" t="s">
        <v>68</v>
      </c>
      <c r="H376" t="s">
        <v>16</v>
      </c>
      <c r="J376" s="2">
        <v>50</v>
      </c>
      <c r="K376">
        <v>2.1</v>
      </c>
      <c r="L376">
        <v>1</v>
      </c>
      <c r="M376" s="1">
        <v>0.82</v>
      </c>
    </row>
    <row r="377" spans="1:13" x14ac:dyDescent="0.3">
      <c r="A377" t="s">
        <v>827</v>
      </c>
      <c r="B377" t="s">
        <v>828</v>
      </c>
      <c r="C377" t="str">
        <f t="shared" si="8"/>
        <v>Kevin Ellis</v>
      </c>
      <c r="D377" t="s">
        <v>26</v>
      </c>
      <c r="E377">
        <v>24</v>
      </c>
      <c r="F377" t="s">
        <v>27</v>
      </c>
      <c r="G377" t="s">
        <v>28</v>
      </c>
      <c r="H377" t="s">
        <v>74</v>
      </c>
      <c r="I377">
        <v>3</v>
      </c>
      <c r="J377" s="2">
        <v>30</v>
      </c>
      <c r="K377">
        <v>2.2999999999999998</v>
      </c>
      <c r="L377" t="b">
        <v>0</v>
      </c>
      <c r="M377" s="1">
        <v>0.66</v>
      </c>
    </row>
    <row r="378" spans="1:13" x14ac:dyDescent="0.3">
      <c r="A378" t="s">
        <v>829</v>
      </c>
      <c r="B378" t="s">
        <v>830</v>
      </c>
      <c r="C378" t="str">
        <f t="shared" si="8"/>
        <v>Mitchell Keller</v>
      </c>
      <c r="D378" t="s">
        <v>93</v>
      </c>
      <c r="E378">
        <v>50</v>
      </c>
      <c r="F378" t="s">
        <v>20</v>
      </c>
      <c r="G378" t="s">
        <v>21</v>
      </c>
      <c r="H378" t="s">
        <v>29</v>
      </c>
      <c r="I378">
        <v>26</v>
      </c>
      <c r="K378">
        <v>3.6</v>
      </c>
      <c r="L378">
        <v>1</v>
      </c>
      <c r="M378">
        <v>82</v>
      </c>
    </row>
    <row r="379" spans="1:13" x14ac:dyDescent="0.3">
      <c r="A379" t="s">
        <v>831</v>
      </c>
      <c r="B379" t="s">
        <v>832</v>
      </c>
      <c r="C379" t="str">
        <f t="shared" si="8"/>
        <v>Mary Brown</v>
      </c>
      <c r="D379" t="s">
        <v>37</v>
      </c>
      <c r="E379">
        <v>23</v>
      </c>
      <c r="F379" t="s">
        <v>27</v>
      </c>
      <c r="G379" t="s">
        <v>28</v>
      </c>
      <c r="H379" t="s">
        <v>110</v>
      </c>
      <c r="I379">
        <v>4</v>
      </c>
      <c r="J379" t="s">
        <v>307</v>
      </c>
      <c r="K379">
        <v>4.7</v>
      </c>
      <c r="L379" t="b">
        <v>1</v>
      </c>
      <c r="M379" s="1">
        <v>0.84</v>
      </c>
    </row>
    <row r="380" spans="1:13" x14ac:dyDescent="0.3">
      <c r="A380" t="s">
        <v>833</v>
      </c>
      <c r="B380" t="s">
        <v>834</v>
      </c>
      <c r="C380" t="str">
        <f t="shared" si="8"/>
        <v>Ronald Walls</v>
      </c>
      <c r="D380" t="s">
        <v>58</v>
      </c>
      <c r="E380">
        <v>27</v>
      </c>
      <c r="F380" t="s">
        <v>123</v>
      </c>
      <c r="G380" t="s">
        <v>21</v>
      </c>
      <c r="H380" t="s">
        <v>74</v>
      </c>
      <c r="I380">
        <v>8</v>
      </c>
      <c r="J380">
        <v>20</v>
      </c>
      <c r="K380">
        <v>4.8</v>
      </c>
      <c r="L380" t="s">
        <v>30</v>
      </c>
      <c r="M380" s="1">
        <v>0.81</v>
      </c>
    </row>
    <row r="381" spans="1:13" x14ac:dyDescent="0.3">
      <c r="A381" t="s">
        <v>835</v>
      </c>
      <c r="B381" t="s">
        <v>836</v>
      </c>
      <c r="C381" t="str">
        <f t="shared" si="8"/>
        <v>Anthony Avila</v>
      </c>
      <c r="D381" t="s">
        <v>93</v>
      </c>
      <c r="E381">
        <v>58</v>
      </c>
      <c r="F381" t="s">
        <v>148</v>
      </c>
      <c r="G381" t="s">
        <v>149</v>
      </c>
      <c r="H381" t="s">
        <v>42</v>
      </c>
      <c r="I381">
        <v>10</v>
      </c>
      <c r="J381">
        <v>75</v>
      </c>
      <c r="K381">
        <v>4.2</v>
      </c>
      <c r="L381" t="s">
        <v>30</v>
      </c>
      <c r="M381">
        <v>71</v>
      </c>
    </row>
    <row r="382" spans="1:13" x14ac:dyDescent="0.3">
      <c r="A382" t="s">
        <v>837</v>
      </c>
      <c r="B382" t="s">
        <v>838</v>
      </c>
      <c r="C382" t="str">
        <f t="shared" si="8"/>
        <v>Douglas Goodwin</v>
      </c>
      <c r="D382" t="s">
        <v>45</v>
      </c>
      <c r="E382">
        <v>37</v>
      </c>
      <c r="F382" t="s">
        <v>14</v>
      </c>
      <c r="G382" t="s">
        <v>15</v>
      </c>
      <c r="H382" t="s">
        <v>110</v>
      </c>
      <c r="I382">
        <v>5</v>
      </c>
      <c r="K382">
        <v>4.8</v>
      </c>
      <c r="L382">
        <v>1</v>
      </c>
      <c r="M382" s="1">
        <v>0.61</v>
      </c>
    </row>
    <row r="383" spans="1:13" x14ac:dyDescent="0.3">
      <c r="A383" t="s">
        <v>839</v>
      </c>
      <c r="B383" t="s">
        <v>840</v>
      </c>
      <c r="C383" t="str">
        <f t="shared" si="8"/>
        <v>James Mills</v>
      </c>
      <c r="D383" t="s">
        <v>58</v>
      </c>
      <c r="E383">
        <v>39</v>
      </c>
      <c r="F383" t="s">
        <v>184</v>
      </c>
      <c r="G383" t="s">
        <v>68</v>
      </c>
      <c r="H383" t="s">
        <v>16</v>
      </c>
      <c r="I383">
        <v>18</v>
      </c>
      <c r="J383">
        <v>75</v>
      </c>
      <c r="K383">
        <v>4</v>
      </c>
      <c r="L383">
        <v>1</v>
      </c>
      <c r="M383" s="1">
        <v>0.66</v>
      </c>
    </row>
    <row r="384" spans="1:13" x14ac:dyDescent="0.3">
      <c r="A384" t="s">
        <v>841</v>
      </c>
      <c r="B384" t="s">
        <v>842</v>
      </c>
      <c r="C384" t="str">
        <f t="shared" si="8"/>
        <v>Nicole Marks</v>
      </c>
      <c r="D384" t="s">
        <v>19</v>
      </c>
      <c r="E384">
        <v>46</v>
      </c>
      <c r="F384" t="s">
        <v>134</v>
      </c>
      <c r="G384" t="s">
        <v>135</v>
      </c>
      <c r="H384" t="s">
        <v>48</v>
      </c>
      <c r="I384">
        <v>10</v>
      </c>
      <c r="J384" s="2">
        <v>20</v>
      </c>
      <c r="K384">
        <v>2.5</v>
      </c>
      <c r="L384" t="b">
        <v>1</v>
      </c>
      <c r="M384" s="1">
        <v>0.97</v>
      </c>
    </row>
    <row r="385" spans="1:13" x14ac:dyDescent="0.3">
      <c r="A385" t="s">
        <v>843</v>
      </c>
      <c r="B385" t="s">
        <v>844</v>
      </c>
      <c r="C385" t="str">
        <f t="shared" si="8"/>
        <v>Phyllis Dawson</v>
      </c>
      <c r="D385" t="s">
        <v>73</v>
      </c>
      <c r="F385" t="s">
        <v>63</v>
      </c>
      <c r="G385" t="s">
        <v>21</v>
      </c>
      <c r="H385" t="s">
        <v>69</v>
      </c>
      <c r="I385">
        <v>0</v>
      </c>
      <c r="J385" t="s">
        <v>307</v>
      </c>
      <c r="K385">
        <v>4.8</v>
      </c>
      <c r="L385">
        <v>0</v>
      </c>
      <c r="M385" s="1">
        <v>0.74</v>
      </c>
    </row>
    <row r="386" spans="1:13" x14ac:dyDescent="0.3">
      <c r="A386" t="s">
        <v>845</v>
      </c>
      <c r="B386" t="s">
        <v>846</v>
      </c>
      <c r="C386" t="str">
        <f t="shared" si="8"/>
        <v>Renee Arnold</v>
      </c>
      <c r="D386" t="s">
        <v>13</v>
      </c>
      <c r="E386">
        <v>39</v>
      </c>
      <c r="F386" t="s">
        <v>173</v>
      </c>
      <c r="G386" t="s">
        <v>68</v>
      </c>
      <c r="H386" t="s">
        <v>16</v>
      </c>
      <c r="I386">
        <v>21</v>
      </c>
      <c r="J386">
        <v>30</v>
      </c>
      <c r="K386">
        <v>4.7</v>
      </c>
      <c r="L386" t="b">
        <v>0</v>
      </c>
      <c r="M386" s="1">
        <v>0.61</v>
      </c>
    </row>
    <row r="387" spans="1:13" x14ac:dyDescent="0.3">
      <c r="A387" t="s">
        <v>847</v>
      </c>
      <c r="B387" t="s">
        <v>848</v>
      </c>
      <c r="C387" t="str">
        <f t="shared" si="8"/>
        <v>Eric Robinson</v>
      </c>
      <c r="D387" t="s">
        <v>88</v>
      </c>
      <c r="E387">
        <v>59</v>
      </c>
      <c r="F387" t="s">
        <v>134</v>
      </c>
      <c r="G387" t="s">
        <v>135</v>
      </c>
      <c r="H387" t="s">
        <v>16</v>
      </c>
      <c r="I387">
        <v>25</v>
      </c>
      <c r="J387">
        <v>20</v>
      </c>
      <c r="K387">
        <v>4</v>
      </c>
      <c r="L387">
        <v>0</v>
      </c>
      <c r="M387" s="1">
        <v>0.9</v>
      </c>
    </row>
    <row r="388" spans="1:13" x14ac:dyDescent="0.3">
      <c r="A388" t="s">
        <v>849</v>
      </c>
      <c r="B388" t="s">
        <v>850</v>
      </c>
      <c r="C388" t="str">
        <f t="shared" si="8"/>
        <v>Paul Brown</v>
      </c>
      <c r="D388" t="s">
        <v>45</v>
      </c>
      <c r="E388">
        <v>21</v>
      </c>
      <c r="F388" t="s">
        <v>40</v>
      </c>
      <c r="G388" t="s">
        <v>41</v>
      </c>
      <c r="H388" t="s">
        <v>85</v>
      </c>
      <c r="I388">
        <v>0</v>
      </c>
      <c r="J388" s="2">
        <v>40</v>
      </c>
      <c r="K388">
        <v>4.0999999999999996</v>
      </c>
      <c r="L388" t="s">
        <v>70</v>
      </c>
      <c r="M388" s="1">
        <v>0.97</v>
      </c>
    </row>
    <row r="389" spans="1:13" x14ac:dyDescent="0.3">
      <c r="A389" t="s">
        <v>851</v>
      </c>
      <c r="B389" t="s">
        <v>852</v>
      </c>
      <c r="C389" t="str">
        <f t="shared" si="8"/>
        <v>Sarah Proctor</v>
      </c>
      <c r="D389" t="s">
        <v>19</v>
      </c>
      <c r="E389">
        <v>23</v>
      </c>
      <c r="F389" t="s">
        <v>123</v>
      </c>
      <c r="G389" t="s">
        <v>21</v>
      </c>
      <c r="H389" t="s">
        <v>85</v>
      </c>
      <c r="I389">
        <v>5</v>
      </c>
      <c r="J389">
        <v>100</v>
      </c>
      <c r="K389">
        <v>3.2</v>
      </c>
      <c r="L389">
        <v>1</v>
      </c>
    </row>
    <row r="390" spans="1:13" x14ac:dyDescent="0.3">
      <c r="A390" t="s">
        <v>853</v>
      </c>
      <c r="B390" t="s">
        <v>854</v>
      </c>
      <c r="C390" t="str">
        <f t="shared" si="8"/>
        <v>Matthew Hicks</v>
      </c>
      <c r="D390" t="s">
        <v>45</v>
      </c>
      <c r="E390">
        <v>27</v>
      </c>
      <c r="F390" t="s">
        <v>134</v>
      </c>
      <c r="G390" t="s">
        <v>135</v>
      </c>
      <c r="H390" t="s">
        <v>34</v>
      </c>
      <c r="I390">
        <v>1</v>
      </c>
      <c r="J390">
        <v>20</v>
      </c>
      <c r="K390">
        <v>4.3</v>
      </c>
      <c r="L390" t="s">
        <v>30</v>
      </c>
      <c r="M390" s="1">
        <v>0.76</v>
      </c>
    </row>
    <row r="391" spans="1:13" x14ac:dyDescent="0.3">
      <c r="A391" t="s">
        <v>855</v>
      </c>
      <c r="B391" t="s">
        <v>856</v>
      </c>
      <c r="C391" t="str">
        <f t="shared" si="8"/>
        <v>Christopher Black</v>
      </c>
      <c r="D391" t="s">
        <v>45</v>
      </c>
      <c r="E391">
        <v>27</v>
      </c>
      <c r="F391" t="s">
        <v>169</v>
      </c>
      <c r="G391" t="s">
        <v>170</v>
      </c>
      <c r="H391" t="s">
        <v>74</v>
      </c>
      <c r="I391">
        <v>4</v>
      </c>
      <c r="J391">
        <v>40</v>
      </c>
      <c r="K391">
        <v>4.4000000000000004</v>
      </c>
      <c r="L391">
        <v>0</v>
      </c>
      <c r="M391" s="1">
        <v>0.92</v>
      </c>
    </row>
    <row r="392" spans="1:13" x14ac:dyDescent="0.3">
      <c r="A392" t="s">
        <v>857</v>
      </c>
      <c r="B392" t="s">
        <v>858</v>
      </c>
      <c r="C392" t="str">
        <f t="shared" si="8"/>
        <v>Joanne Reyes</v>
      </c>
      <c r="D392" t="s">
        <v>33</v>
      </c>
      <c r="E392">
        <v>48</v>
      </c>
      <c r="F392" t="s">
        <v>148</v>
      </c>
      <c r="G392" t="s">
        <v>149</v>
      </c>
      <c r="H392" t="s">
        <v>48</v>
      </c>
      <c r="I392">
        <v>21</v>
      </c>
      <c r="J392">
        <v>40</v>
      </c>
      <c r="K392">
        <v>2.2999999999999998</v>
      </c>
      <c r="L392">
        <v>0</v>
      </c>
    </row>
    <row r="393" spans="1:13" x14ac:dyDescent="0.3">
      <c r="A393" t="s">
        <v>859</v>
      </c>
      <c r="B393" t="s">
        <v>860</v>
      </c>
      <c r="C393" t="str">
        <f t="shared" si="8"/>
        <v>Isaac Gray</v>
      </c>
      <c r="D393" t="s">
        <v>58</v>
      </c>
      <c r="E393">
        <v>21</v>
      </c>
      <c r="F393" t="s">
        <v>148</v>
      </c>
      <c r="G393" t="s">
        <v>149</v>
      </c>
      <c r="H393" t="s">
        <v>42</v>
      </c>
      <c r="I393">
        <v>1</v>
      </c>
      <c r="J393" s="2">
        <v>20</v>
      </c>
      <c r="K393">
        <v>2.4</v>
      </c>
      <c r="L393">
        <v>1</v>
      </c>
      <c r="M393" s="1">
        <v>0.66</v>
      </c>
    </row>
    <row r="394" spans="1:13" x14ac:dyDescent="0.3">
      <c r="A394" t="s">
        <v>861</v>
      </c>
      <c r="B394" t="s">
        <v>862</v>
      </c>
      <c r="C394" t="str">
        <f t="shared" si="8"/>
        <v>Joshua Roberts</v>
      </c>
      <c r="D394" t="s">
        <v>45</v>
      </c>
      <c r="E394">
        <v>37</v>
      </c>
      <c r="F394" t="s">
        <v>14</v>
      </c>
      <c r="G394" t="s">
        <v>15</v>
      </c>
      <c r="H394" t="s">
        <v>85</v>
      </c>
      <c r="J394">
        <v>50</v>
      </c>
      <c r="K394">
        <v>4.5999999999999996</v>
      </c>
      <c r="L394">
        <v>0</v>
      </c>
      <c r="M394" s="1">
        <v>0.83</v>
      </c>
    </row>
    <row r="395" spans="1:13" x14ac:dyDescent="0.3">
      <c r="A395" t="s">
        <v>863</v>
      </c>
      <c r="B395" t="s">
        <v>864</v>
      </c>
      <c r="C395" t="str">
        <f t="shared" si="8"/>
        <v>Elizabeth Estrada</v>
      </c>
      <c r="D395" t="s">
        <v>33</v>
      </c>
      <c r="E395">
        <v>31</v>
      </c>
      <c r="F395" t="s">
        <v>27</v>
      </c>
      <c r="G395" t="s">
        <v>28</v>
      </c>
      <c r="H395" t="s">
        <v>69</v>
      </c>
      <c r="I395">
        <v>10</v>
      </c>
      <c r="J395">
        <v>50</v>
      </c>
      <c r="K395">
        <v>0</v>
      </c>
      <c r="L395" t="s">
        <v>154</v>
      </c>
    </row>
    <row r="396" spans="1:13" x14ac:dyDescent="0.3">
      <c r="A396" t="s">
        <v>865</v>
      </c>
      <c r="B396" t="s">
        <v>866</v>
      </c>
      <c r="C396" t="str">
        <f t="shared" si="8"/>
        <v>Lori Malone</v>
      </c>
      <c r="D396" t="s">
        <v>13</v>
      </c>
      <c r="E396">
        <v>41</v>
      </c>
      <c r="F396" t="s">
        <v>134</v>
      </c>
      <c r="G396" t="s">
        <v>135</v>
      </c>
      <c r="H396" t="s">
        <v>16</v>
      </c>
      <c r="I396">
        <v>21</v>
      </c>
      <c r="K396">
        <v>0</v>
      </c>
      <c r="L396" t="s">
        <v>70</v>
      </c>
    </row>
    <row r="397" spans="1:13" x14ac:dyDescent="0.3">
      <c r="A397" t="s">
        <v>867</v>
      </c>
      <c r="B397" t="s">
        <v>868</v>
      </c>
      <c r="C397" t="str">
        <f t="shared" si="8"/>
        <v>Anthony Huynh MD</v>
      </c>
      <c r="D397" t="s">
        <v>26</v>
      </c>
      <c r="E397">
        <v>31</v>
      </c>
      <c r="F397" t="s">
        <v>119</v>
      </c>
      <c r="G397" t="s">
        <v>120</v>
      </c>
      <c r="H397" t="s">
        <v>74</v>
      </c>
      <c r="I397">
        <v>0</v>
      </c>
      <c r="J397" s="2">
        <v>20</v>
      </c>
      <c r="K397">
        <v>4.2</v>
      </c>
      <c r="L397" t="s">
        <v>70</v>
      </c>
      <c r="M397">
        <v>82</v>
      </c>
    </row>
    <row r="398" spans="1:13" x14ac:dyDescent="0.3">
      <c r="A398" t="s">
        <v>869</v>
      </c>
      <c r="B398" t="s">
        <v>870</v>
      </c>
      <c r="C398" t="str">
        <f t="shared" si="8"/>
        <v>Mindy York</v>
      </c>
      <c r="D398" t="s">
        <v>19</v>
      </c>
      <c r="E398">
        <v>58</v>
      </c>
      <c r="F398" t="s">
        <v>67</v>
      </c>
      <c r="G398" t="s">
        <v>68</v>
      </c>
      <c r="H398" t="s">
        <v>48</v>
      </c>
      <c r="I398">
        <v>0</v>
      </c>
      <c r="J398">
        <v>50</v>
      </c>
      <c r="K398">
        <v>2.2999999999999998</v>
      </c>
      <c r="L398">
        <v>0</v>
      </c>
      <c r="M398" s="1">
        <v>0.77</v>
      </c>
    </row>
    <row r="399" spans="1:13" x14ac:dyDescent="0.3">
      <c r="A399" t="s">
        <v>871</v>
      </c>
      <c r="B399" t="s">
        <v>872</v>
      </c>
      <c r="C399" t="str">
        <f>RIGHT(B399, LEN(B399) - FIND(". ", B399))</f>
        <v xml:space="preserve"> Christine Cherry</v>
      </c>
      <c r="D399" t="s">
        <v>13</v>
      </c>
      <c r="E399">
        <v>45</v>
      </c>
      <c r="F399" t="s">
        <v>40</v>
      </c>
      <c r="G399" t="s">
        <v>41</v>
      </c>
      <c r="H399" t="s">
        <v>48</v>
      </c>
      <c r="I399">
        <v>17</v>
      </c>
      <c r="J399" s="2">
        <v>50</v>
      </c>
      <c r="K399">
        <v>4.7</v>
      </c>
      <c r="L399">
        <v>1</v>
      </c>
      <c r="M399" s="1">
        <v>0.73</v>
      </c>
    </row>
    <row r="400" spans="1:13" x14ac:dyDescent="0.3">
      <c r="A400" t="s">
        <v>873</v>
      </c>
      <c r="B400" t="s">
        <v>874</v>
      </c>
      <c r="C400" t="str">
        <f>B400</f>
        <v>Daniel Foster</v>
      </c>
      <c r="D400" t="s">
        <v>45</v>
      </c>
      <c r="E400">
        <v>51</v>
      </c>
      <c r="F400" t="s">
        <v>108</v>
      </c>
      <c r="G400" t="s">
        <v>109</v>
      </c>
      <c r="H400" t="s">
        <v>74</v>
      </c>
      <c r="I400">
        <v>5</v>
      </c>
      <c r="K400">
        <v>3</v>
      </c>
      <c r="L400">
        <v>1</v>
      </c>
      <c r="M400" s="1">
        <v>0.88</v>
      </c>
    </row>
    <row r="401" spans="1:13" x14ac:dyDescent="0.3">
      <c r="A401" t="s">
        <v>875</v>
      </c>
      <c r="B401" t="s">
        <v>876</v>
      </c>
      <c r="C401" t="str">
        <f>RIGHT(B401, LEN(B401) - FIND(". ", B401))</f>
        <v xml:space="preserve"> David Valencia</v>
      </c>
      <c r="D401" t="s">
        <v>58</v>
      </c>
      <c r="E401">
        <v>54</v>
      </c>
      <c r="F401" t="s">
        <v>55</v>
      </c>
      <c r="G401" t="s">
        <v>21</v>
      </c>
      <c r="H401" t="s">
        <v>69</v>
      </c>
      <c r="I401">
        <v>3</v>
      </c>
      <c r="J401" t="s">
        <v>105</v>
      </c>
      <c r="K401">
        <v>2.4</v>
      </c>
      <c r="L401">
        <v>0</v>
      </c>
      <c r="M401" s="1">
        <v>0.81</v>
      </c>
    </row>
    <row r="402" spans="1:13" x14ac:dyDescent="0.3">
      <c r="A402" t="s">
        <v>877</v>
      </c>
      <c r="B402" t="s">
        <v>878</v>
      </c>
      <c r="C402" t="str">
        <f t="shared" ref="C402:C432" si="9">B402</f>
        <v>Ethan Adams</v>
      </c>
      <c r="D402" t="s">
        <v>88</v>
      </c>
      <c r="E402">
        <v>22</v>
      </c>
      <c r="F402" t="s">
        <v>119</v>
      </c>
      <c r="G402" t="s">
        <v>120</v>
      </c>
      <c r="H402" t="s">
        <v>48</v>
      </c>
      <c r="I402">
        <v>1</v>
      </c>
      <c r="J402">
        <v>20</v>
      </c>
      <c r="K402">
        <v>1.7</v>
      </c>
      <c r="L402" t="s">
        <v>30</v>
      </c>
      <c r="M402" s="1">
        <v>0.78</v>
      </c>
    </row>
    <row r="403" spans="1:13" x14ac:dyDescent="0.3">
      <c r="A403" t="s">
        <v>879</v>
      </c>
      <c r="B403" t="s">
        <v>880</v>
      </c>
      <c r="C403" t="str">
        <f t="shared" si="9"/>
        <v>Brett Moore</v>
      </c>
      <c r="D403" t="s">
        <v>88</v>
      </c>
      <c r="E403">
        <v>36</v>
      </c>
      <c r="F403" t="s">
        <v>59</v>
      </c>
      <c r="G403" t="s">
        <v>60</v>
      </c>
      <c r="H403" t="s">
        <v>74</v>
      </c>
      <c r="I403">
        <v>2</v>
      </c>
      <c r="J403">
        <v>75</v>
      </c>
      <c r="K403">
        <v>0</v>
      </c>
      <c r="L403" t="b">
        <v>0</v>
      </c>
      <c r="M403" s="1">
        <v>0.92</v>
      </c>
    </row>
    <row r="404" spans="1:13" x14ac:dyDescent="0.3">
      <c r="A404" t="s">
        <v>881</v>
      </c>
      <c r="B404" t="s">
        <v>882</v>
      </c>
      <c r="C404" t="str">
        <f t="shared" si="9"/>
        <v>Phillip Griffin</v>
      </c>
      <c r="D404" t="s">
        <v>58</v>
      </c>
      <c r="E404">
        <v>50</v>
      </c>
      <c r="F404" t="s">
        <v>27</v>
      </c>
      <c r="G404" t="s">
        <v>28</v>
      </c>
      <c r="H404" t="s">
        <v>85</v>
      </c>
      <c r="I404">
        <v>32</v>
      </c>
      <c r="J404" s="2">
        <v>30</v>
      </c>
      <c r="L404">
        <v>0</v>
      </c>
      <c r="M404" s="1">
        <v>0.64</v>
      </c>
    </row>
    <row r="405" spans="1:13" x14ac:dyDescent="0.3">
      <c r="A405" t="s">
        <v>883</v>
      </c>
      <c r="B405" t="s">
        <v>884</v>
      </c>
      <c r="C405" t="str">
        <f t="shared" si="9"/>
        <v>Stacie Wall</v>
      </c>
      <c r="D405" t="s">
        <v>73</v>
      </c>
      <c r="E405">
        <v>41</v>
      </c>
      <c r="F405" t="s">
        <v>20</v>
      </c>
      <c r="G405" t="s">
        <v>21</v>
      </c>
      <c r="H405" t="s">
        <v>16</v>
      </c>
      <c r="I405">
        <v>14</v>
      </c>
      <c r="J405">
        <v>30</v>
      </c>
      <c r="K405">
        <v>0</v>
      </c>
      <c r="L405" t="s">
        <v>70</v>
      </c>
      <c r="M405" s="1">
        <v>0.78</v>
      </c>
    </row>
    <row r="406" spans="1:13" x14ac:dyDescent="0.3">
      <c r="A406" t="s">
        <v>885</v>
      </c>
      <c r="B406" t="s">
        <v>886</v>
      </c>
      <c r="C406" t="str">
        <f t="shared" si="9"/>
        <v>Jacob Austin</v>
      </c>
      <c r="D406" t="s">
        <v>88</v>
      </c>
      <c r="F406" t="s">
        <v>148</v>
      </c>
      <c r="G406" t="s">
        <v>149</v>
      </c>
      <c r="H406" t="s">
        <v>34</v>
      </c>
      <c r="I406">
        <v>10</v>
      </c>
      <c r="J406">
        <v>20</v>
      </c>
      <c r="K406">
        <v>1.8</v>
      </c>
      <c r="L406" t="s">
        <v>64</v>
      </c>
      <c r="M406">
        <v>85</v>
      </c>
    </row>
    <row r="407" spans="1:13" x14ac:dyDescent="0.3">
      <c r="A407" t="s">
        <v>887</v>
      </c>
      <c r="B407" t="s">
        <v>888</v>
      </c>
      <c r="C407" t="str">
        <f t="shared" si="9"/>
        <v>Sabrina Davidson</v>
      </c>
      <c r="D407" t="s">
        <v>19</v>
      </c>
      <c r="E407">
        <v>51</v>
      </c>
      <c r="F407" t="s">
        <v>40</v>
      </c>
      <c r="G407" t="s">
        <v>41</v>
      </c>
      <c r="H407" t="s">
        <v>74</v>
      </c>
      <c r="I407">
        <v>27</v>
      </c>
      <c r="J407" s="2">
        <v>50</v>
      </c>
      <c r="K407">
        <v>0</v>
      </c>
      <c r="L407" t="s">
        <v>154</v>
      </c>
      <c r="M407" s="1">
        <v>0.78</v>
      </c>
    </row>
    <row r="408" spans="1:13" x14ac:dyDescent="0.3">
      <c r="A408" t="s">
        <v>889</v>
      </c>
      <c r="B408" t="s">
        <v>890</v>
      </c>
      <c r="C408" t="str">
        <f t="shared" si="9"/>
        <v>Dustin Douglas</v>
      </c>
      <c r="D408" t="s">
        <v>26</v>
      </c>
      <c r="E408">
        <v>21</v>
      </c>
      <c r="F408" t="s">
        <v>130</v>
      </c>
      <c r="G408" t="s">
        <v>131</v>
      </c>
      <c r="H408" t="s">
        <v>42</v>
      </c>
      <c r="I408">
        <v>2</v>
      </c>
      <c r="J408" s="2">
        <v>30</v>
      </c>
      <c r="K408">
        <v>3.8</v>
      </c>
      <c r="L408">
        <v>1</v>
      </c>
      <c r="M408" s="1">
        <v>0.98</v>
      </c>
    </row>
    <row r="409" spans="1:13" x14ac:dyDescent="0.3">
      <c r="A409" t="s">
        <v>891</v>
      </c>
      <c r="B409" t="s">
        <v>892</v>
      </c>
      <c r="C409" t="str">
        <f t="shared" si="9"/>
        <v>Steven Norris</v>
      </c>
      <c r="D409" t="s">
        <v>58</v>
      </c>
      <c r="E409">
        <v>51</v>
      </c>
      <c r="F409" t="s">
        <v>81</v>
      </c>
      <c r="G409" t="s">
        <v>82</v>
      </c>
      <c r="H409" t="s">
        <v>42</v>
      </c>
      <c r="I409">
        <v>33</v>
      </c>
      <c r="J409" t="s">
        <v>52</v>
      </c>
      <c r="K409">
        <v>0</v>
      </c>
      <c r="L409" t="s">
        <v>70</v>
      </c>
      <c r="M409" s="1">
        <v>0.63</v>
      </c>
    </row>
    <row r="410" spans="1:13" x14ac:dyDescent="0.3">
      <c r="A410" t="s">
        <v>893</v>
      </c>
      <c r="B410" t="s">
        <v>894</v>
      </c>
      <c r="C410" t="str">
        <f t="shared" si="9"/>
        <v>Mindy Sullivan</v>
      </c>
      <c r="D410" t="s">
        <v>37</v>
      </c>
      <c r="E410">
        <v>37</v>
      </c>
      <c r="F410" t="s">
        <v>46</v>
      </c>
      <c r="G410" t="s">
        <v>47</v>
      </c>
      <c r="H410" t="s">
        <v>29</v>
      </c>
      <c r="I410">
        <v>11</v>
      </c>
      <c r="J410" t="s">
        <v>52</v>
      </c>
      <c r="K410">
        <v>3.6</v>
      </c>
      <c r="L410" t="s">
        <v>30</v>
      </c>
      <c r="M410" s="1">
        <v>0.73</v>
      </c>
    </row>
    <row r="411" spans="1:13" x14ac:dyDescent="0.3">
      <c r="A411" t="s">
        <v>895</v>
      </c>
      <c r="B411" t="s">
        <v>896</v>
      </c>
      <c r="C411" t="str">
        <f t="shared" si="9"/>
        <v>Elizabeth Stone</v>
      </c>
      <c r="D411" t="s">
        <v>13</v>
      </c>
      <c r="E411">
        <v>20</v>
      </c>
      <c r="F411" t="s">
        <v>184</v>
      </c>
      <c r="G411" t="s">
        <v>68</v>
      </c>
      <c r="H411" t="s">
        <v>29</v>
      </c>
      <c r="I411">
        <v>2</v>
      </c>
      <c r="J411">
        <v>30</v>
      </c>
      <c r="K411">
        <v>0</v>
      </c>
      <c r="L411">
        <v>0</v>
      </c>
      <c r="M411" s="1">
        <v>0.94</v>
      </c>
    </row>
    <row r="412" spans="1:13" x14ac:dyDescent="0.3">
      <c r="A412" t="s">
        <v>897</v>
      </c>
      <c r="B412" t="s">
        <v>898</v>
      </c>
      <c r="C412" t="str">
        <f t="shared" si="9"/>
        <v>Diane Flores</v>
      </c>
      <c r="D412" t="s">
        <v>73</v>
      </c>
      <c r="E412">
        <v>50</v>
      </c>
      <c r="F412" t="s">
        <v>20</v>
      </c>
      <c r="G412" t="s">
        <v>21</v>
      </c>
      <c r="H412" t="s">
        <v>34</v>
      </c>
      <c r="I412">
        <v>31</v>
      </c>
      <c r="J412" s="2">
        <v>50</v>
      </c>
      <c r="K412">
        <v>4.0999999999999996</v>
      </c>
      <c r="M412" s="1">
        <v>0.81</v>
      </c>
    </row>
    <row r="413" spans="1:13" x14ac:dyDescent="0.3">
      <c r="A413" t="s">
        <v>899</v>
      </c>
      <c r="B413" t="s">
        <v>900</v>
      </c>
      <c r="C413" t="str">
        <f t="shared" si="9"/>
        <v>Jessica Erickson</v>
      </c>
      <c r="D413" t="s">
        <v>19</v>
      </c>
      <c r="E413">
        <v>58</v>
      </c>
      <c r="F413" t="s">
        <v>59</v>
      </c>
      <c r="G413" t="s">
        <v>60</v>
      </c>
      <c r="H413" t="s">
        <v>29</v>
      </c>
      <c r="I413">
        <v>17</v>
      </c>
      <c r="J413" s="2">
        <v>50</v>
      </c>
      <c r="K413">
        <v>2.6</v>
      </c>
      <c r="L413">
        <v>1</v>
      </c>
      <c r="M413" s="1">
        <v>0.61</v>
      </c>
    </row>
    <row r="414" spans="1:13" x14ac:dyDescent="0.3">
      <c r="A414" t="s">
        <v>901</v>
      </c>
      <c r="B414" t="s">
        <v>902</v>
      </c>
      <c r="C414" t="str">
        <f t="shared" si="9"/>
        <v>Sara Moses</v>
      </c>
      <c r="D414" t="s">
        <v>19</v>
      </c>
      <c r="E414">
        <v>40</v>
      </c>
      <c r="F414" t="s">
        <v>103</v>
      </c>
      <c r="G414" t="s">
        <v>104</v>
      </c>
      <c r="H414" t="s">
        <v>69</v>
      </c>
      <c r="I414">
        <v>2</v>
      </c>
      <c r="J414" s="2">
        <v>100</v>
      </c>
      <c r="K414">
        <v>0</v>
      </c>
      <c r="L414">
        <v>0</v>
      </c>
    </row>
    <row r="415" spans="1:13" x14ac:dyDescent="0.3">
      <c r="A415" t="s">
        <v>903</v>
      </c>
      <c r="B415" t="s">
        <v>904</v>
      </c>
      <c r="C415" t="str">
        <f t="shared" si="9"/>
        <v>Allison Henderson</v>
      </c>
      <c r="D415" t="s">
        <v>33</v>
      </c>
      <c r="E415">
        <v>26</v>
      </c>
      <c r="F415" t="s">
        <v>134</v>
      </c>
      <c r="G415" t="s">
        <v>135</v>
      </c>
      <c r="H415" t="s">
        <v>34</v>
      </c>
      <c r="I415">
        <v>2</v>
      </c>
      <c r="J415">
        <v>20</v>
      </c>
      <c r="K415">
        <v>1.3</v>
      </c>
      <c r="L415" t="s">
        <v>154</v>
      </c>
      <c r="M415" s="1">
        <v>0.83</v>
      </c>
    </row>
    <row r="416" spans="1:13" x14ac:dyDescent="0.3">
      <c r="A416" t="s">
        <v>905</v>
      </c>
      <c r="B416" t="s">
        <v>906</v>
      </c>
      <c r="C416" t="str">
        <f t="shared" si="9"/>
        <v>Susan Dixon</v>
      </c>
      <c r="D416" t="s">
        <v>19</v>
      </c>
      <c r="E416">
        <v>44</v>
      </c>
      <c r="F416" t="s">
        <v>108</v>
      </c>
      <c r="G416" t="s">
        <v>109</v>
      </c>
      <c r="H416" t="s">
        <v>74</v>
      </c>
      <c r="I416">
        <v>22</v>
      </c>
      <c r="J416">
        <v>30</v>
      </c>
      <c r="K416">
        <v>4.0999999999999996</v>
      </c>
      <c r="L416" t="s">
        <v>70</v>
      </c>
    </row>
    <row r="417" spans="1:13" x14ac:dyDescent="0.3">
      <c r="A417" t="s">
        <v>907</v>
      </c>
      <c r="B417" t="s">
        <v>908</v>
      </c>
      <c r="C417" t="str">
        <f t="shared" si="9"/>
        <v>David Morrison</v>
      </c>
      <c r="D417" t="s">
        <v>26</v>
      </c>
      <c r="E417">
        <v>42</v>
      </c>
      <c r="F417" t="s">
        <v>173</v>
      </c>
      <c r="G417" t="s">
        <v>68</v>
      </c>
      <c r="H417" t="s">
        <v>110</v>
      </c>
      <c r="I417">
        <v>8</v>
      </c>
      <c r="J417" s="2">
        <v>50</v>
      </c>
      <c r="K417">
        <v>2.4</v>
      </c>
      <c r="L417" t="s">
        <v>154</v>
      </c>
      <c r="M417" s="1">
        <v>0.68</v>
      </c>
    </row>
    <row r="418" spans="1:13" x14ac:dyDescent="0.3">
      <c r="A418" t="s">
        <v>909</v>
      </c>
      <c r="B418" t="s">
        <v>329</v>
      </c>
      <c r="C418" t="str">
        <f t="shared" si="9"/>
        <v>Jason Carter</v>
      </c>
      <c r="D418" t="s">
        <v>88</v>
      </c>
      <c r="E418">
        <v>38</v>
      </c>
      <c r="F418" t="s">
        <v>173</v>
      </c>
      <c r="G418" t="s">
        <v>68</v>
      </c>
      <c r="H418" t="s">
        <v>48</v>
      </c>
      <c r="I418">
        <v>9</v>
      </c>
      <c r="J418" s="2">
        <v>50</v>
      </c>
      <c r="K418">
        <v>0</v>
      </c>
      <c r="L418">
        <v>0</v>
      </c>
      <c r="M418" s="1">
        <v>0.74</v>
      </c>
    </row>
    <row r="419" spans="1:13" x14ac:dyDescent="0.3">
      <c r="A419" t="s">
        <v>910</v>
      </c>
      <c r="B419" t="s">
        <v>911</v>
      </c>
      <c r="C419" t="str">
        <f t="shared" si="9"/>
        <v>James Jacobs</v>
      </c>
      <c r="D419" t="s">
        <v>26</v>
      </c>
      <c r="E419">
        <v>51</v>
      </c>
      <c r="F419" t="s">
        <v>134</v>
      </c>
      <c r="G419" t="s">
        <v>135</v>
      </c>
      <c r="H419" t="s">
        <v>34</v>
      </c>
      <c r="I419">
        <v>32</v>
      </c>
      <c r="J419">
        <v>100</v>
      </c>
      <c r="K419">
        <v>4.4000000000000004</v>
      </c>
      <c r="L419" t="b">
        <v>0</v>
      </c>
      <c r="M419">
        <v>91</v>
      </c>
    </row>
    <row r="420" spans="1:13" x14ac:dyDescent="0.3">
      <c r="A420" t="s">
        <v>912</v>
      </c>
      <c r="B420" t="s">
        <v>913</v>
      </c>
      <c r="C420" t="str">
        <f t="shared" si="9"/>
        <v>Kathleen Quinn</v>
      </c>
      <c r="D420" t="s">
        <v>37</v>
      </c>
      <c r="E420">
        <v>36</v>
      </c>
      <c r="F420" t="s">
        <v>130</v>
      </c>
      <c r="G420" t="s">
        <v>131</v>
      </c>
      <c r="H420" t="s">
        <v>42</v>
      </c>
      <c r="I420">
        <v>8</v>
      </c>
      <c r="J420" t="s">
        <v>23</v>
      </c>
      <c r="K420">
        <v>2.2000000000000002</v>
      </c>
      <c r="L420">
        <v>1</v>
      </c>
      <c r="M420" s="1">
        <v>0.97</v>
      </c>
    </row>
    <row r="421" spans="1:13" x14ac:dyDescent="0.3">
      <c r="A421" t="s">
        <v>914</v>
      </c>
      <c r="B421" t="s">
        <v>915</v>
      </c>
      <c r="C421" t="str">
        <f t="shared" si="9"/>
        <v>Natalie Frank MD</v>
      </c>
      <c r="D421" t="s">
        <v>19</v>
      </c>
      <c r="E421">
        <v>37</v>
      </c>
      <c r="F421" t="s">
        <v>20</v>
      </c>
      <c r="G421" t="s">
        <v>21</v>
      </c>
      <c r="H421" t="s">
        <v>22</v>
      </c>
      <c r="I421">
        <v>10</v>
      </c>
      <c r="J421">
        <v>30</v>
      </c>
      <c r="K421">
        <v>0</v>
      </c>
      <c r="L421">
        <v>0</v>
      </c>
      <c r="M421" s="1">
        <v>0.96</v>
      </c>
    </row>
    <row r="422" spans="1:13" x14ac:dyDescent="0.3">
      <c r="A422" t="s">
        <v>916</v>
      </c>
      <c r="B422" t="s">
        <v>917</v>
      </c>
      <c r="C422" t="str">
        <f t="shared" si="9"/>
        <v>Michael Reed</v>
      </c>
      <c r="D422" t="s">
        <v>26</v>
      </c>
      <c r="E422">
        <v>31</v>
      </c>
      <c r="F422" t="s">
        <v>148</v>
      </c>
      <c r="G422" t="s">
        <v>149</v>
      </c>
      <c r="H422" t="s">
        <v>85</v>
      </c>
      <c r="I422">
        <v>0</v>
      </c>
      <c r="J422">
        <v>50</v>
      </c>
      <c r="K422">
        <v>1.1000000000000001</v>
      </c>
      <c r="L422" t="s">
        <v>70</v>
      </c>
      <c r="M422" s="1">
        <v>0.73</v>
      </c>
    </row>
    <row r="423" spans="1:13" x14ac:dyDescent="0.3">
      <c r="A423" t="s">
        <v>918</v>
      </c>
      <c r="B423" t="s">
        <v>919</v>
      </c>
      <c r="C423" t="str">
        <f t="shared" si="9"/>
        <v>Sheila Smith</v>
      </c>
      <c r="D423" t="s">
        <v>13</v>
      </c>
      <c r="E423">
        <v>47</v>
      </c>
      <c r="F423" t="s">
        <v>89</v>
      </c>
      <c r="G423" t="s">
        <v>90</v>
      </c>
      <c r="H423" t="s">
        <v>74</v>
      </c>
      <c r="I423">
        <v>22</v>
      </c>
      <c r="K423">
        <v>1.4</v>
      </c>
      <c r="L423" t="s">
        <v>64</v>
      </c>
      <c r="M423" s="1">
        <v>0.72</v>
      </c>
    </row>
    <row r="424" spans="1:13" x14ac:dyDescent="0.3">
      <c r="A424" t="s">
        <v>920</v>
      </c>
      <c r="B424" t="s">
        <v>921</v>
      </c>
      <c r="C424" t="str">
        <f t="shared" si="9"/>
        <v>Morgan Ford</v>
      </c>
      <c r="D424" t="s">
        <v>37</v>
      </c>
      <c r="E424">
        <v>60</v>
      </c>
      <c r="F424" t="s">
        <v>173</v>
      </c>
      <c r="G424" t="s">
        <v>68</v>
      </c>
      <c r="H424" t="s">
        <v>69</v>
      </c>
      <c r="I424">
        <v>34</v>
      </c>
      <c r="J424" s="2">
        <v>100</v>
      </c>
      <c r="K424">
        <v>0</v>
      </c>
      <c r="L424" t="b">
        <v>1</v>
      </c>
      <c r="M424" s="1">
        <v>0.74</v>
      </c>
    </row>
    <row r="425" spans="1:13" x14ac:dyDescent="0.3">
      <c r="A425" t="s">
        <v>922</v>
      </c>
      <c r="B425" t="s">
        <v>923</v>
      </c>
      <c r="C425" t="str">
        <f t="shared" si="9"/>
        <v>Linda Schultz</v>
      </c>
      <c r="D425" t="s">
        <v>19</v>
      </c>
      <c r="E425">
        <v>48</v>
      </c>
      <c r="F425" t="s">
        <v>67</v>
      </c>
      <c r="G425" t="s">
        <v>68</v>
      </c>
      <c r="H425" t="s">
        <v>22</v>
      </c>
      <c r="I425">
        <v>5</v>
      </c>
      <c r="J425">
        <v>30</v>
      </c>
      <c r="K425">
        <v>1.5</v>
      </c>
      <c r="L425" t="s">
        <v>30</v>
      </c>
    </row>
    <row r="426" spans="1:13" x14ac:dyDescent="0.3">
      <c r="A426" t="s">
        <v>924</v>
      </c>
      <c r="B426" t="s">
        <v>925</v>
      </c>
      <c r="C426" t="str">
        <f t="shared" si="9"/>
        <v>Regina Daniel</v>
      </c>
      <c r="D426" t="s">
        <v>33</v>
      </c>
      <c r="E426">
        <v>24</v>
      </c>
      <c r="F426" t="s">
        <v>89</v>
      </c>
      <c r="G426" t="s">
        <v>90</v>
      </c>
      <c r="H426" t="s">
        <v>42</v>
      </c>
      <c r="I426">
        <v>3</v>
      </c>
      <c r="J426">
        <v>20</v>
      </c>
      <c r="K426">
        <v>0</v>
      </c>
      <c r="L426">
        <v>1</v>
      </c>
    </row>
    <row r="427" spans="1:13" x14ac:dyDescent="0.3">
      <c r="A427" t="s">
        <v>926</v>
      </c>
      <c r="B427" t="s">
        <v>927</v>
      </c>
      <c r="C427" t="str">
        <f t="shared" si="9"/>
        <v>Allison Perkins</v>
      </c>
      <c r="D427" t="s">
        <v>19</v>
      </c>
      <c r="E427">
        <v>35</v>
      </c>
      <c r="F427" t="s">
        <v>40</v>
      </c>
      <c r="G427" t="s">
        <v>41</v>
      </c>
      <c r="H427" t="s">
        <v>110</v>
      </c>
      <c r="I427">
        <v>10</v>
      </c>
      <c r="J427">
        <v>75</v>
      </c>
      <c r="K427">
        <v>0</v>
      </c>
      <c r="M427" s="1">
        <v>0.74</v>
      </c>
    </row>
    <row r="428" spans="1:13" x14ac:dyDescent="0.3">
      <c r="A428" t="s">
        <v>928</v>
      </c>
      <c r="B428" t="s">
        <v>929</v>
      </c>
      <c r="C428" t="str">
        <f t="shared" si="9"/>
        <v>Bradley Weaver</v>
      </c>
      <c r="D428" t="s">
        <v>58</v>
      </c>
      <c r="E428">
        <v>35</v>
      </c>
      <c r="F428" t="s">
        <v>55</v>
      </c>
      <c r="G428" t="s">
        <v>21</v>
      </c>
      <c r="H428" t="s">
        <v>85</v>
      </c>
      <c r="J428">
        <v>100</v>
      </c>
      <c r="K428">
        <v>3.5</v>
      </c>
      <c r="L428" t="s">
        <v>70</v>
      </c>
      <c r="M428" s="1">
        <v>0.71</v>
      </c>
    </row>
    <row r="429" spans="1:13" x14ac:dyDescent="0.3">
      <c r="A429" t="s">
        <v>930</v>
      </c>
      <c r="B429" t="s">
        <v>931</v>
      </c>
      <c r="C429" t="str">
        <f t="shared" si="9"/>
        <v>Sarah Hall</v>
      </c>
      <c r="D429" t="s">
        <v>73</v>
      </c>
      <c r="E429">
        <v>29</v>
      </c>
      <c r="F429" t="s">
        <v>40</v>
      </c>
      <c r="G429" t="s">
        <v>41</v>
      </c>
      <c r="H429" t="s">
        <v>69</v>
      </c>
      <c r="I429">
        <v>6</v>
      </c>
      <c r="K429">
        <v>4.8</v>
      </c>
      <c r="L429" t="s">
        <v>30</v>
      </c>
      <c r="M429" s="1">
        <v>0.83</v>
      </c>
    </row>
    <row r="430" spans="1:13" x14ac:dyDescent="0.3">
      <c r="A430" t="s">
        <v>932</v>
      </c>
      <c r="B430" t="s">
        <v>933</v>
      </c>
      <c r="C430" t="str">
        <f t="shared" si="9"/>
        <v>Diana Walton</v>
      </c>
      <c r="D430" t="s">
        <v>73</v>
      </c>
      <c r="E430">
        <v>36</v>
      </c>
      <c r="F430" t="s">
        <v>14</v>
      </c>
      <c r="G430" t="s">
        <v>15</v>
      </c>
      <c r="H430" t="s">
        <v>110</v>
      </c>
      <c r="I430">
        <v>1</v>
      </c>
      <c r="J430" s="2">
        <v>75</v>
      </c>
      <c r="M430" s="1">
        <v>0.63</v>
      </c>
    </row>
    <row r="431" spans="1:13" x14ac:dyDescent="0.3">
      <c r="A431" t="s">
        <v>934</v>
      </c>
      <c r="B431" t="s">
        <v>935</v>
      </c>
      <c r="C431" t="str">
        <f t="shared" si="9"/>
        <v>Donna Davis</v>
      </c>
      <c r="D431" t="s">
        <v>19</v>
      </c>
      <c r="E431">
        <v>44</v>
      </c>
      <c r="F431" t="s">
        <v>123</v>
      </c>
      <c r="G431" t="s">
        <v>21</v>
      </c>
      <c r="H431" t="s">
        <v>42</v>
      </c>
      <c r="I431">
        <v>0</v>
      </c>
      <c r="K431">
        <v>4.8</v>
      </c>
      <c r="M431" s="1">
        <v>0.84</v>
      </c>
    </row>
    <row r="432" spans="1:13" x14ac:dyDescent="0.3">
      <c r="A432" t="s">
        <v>936</v>
      </c>
      <c r="B432" t="s">
        <v>937</v>
      </c>
      <c r="C432" t="str">
        <f t="shared" si="9"/>
        <v>Christopher Mcclain</v>
      </c>
      <c r="D432" t="s">
        <v>58</v>
      </c>
      <c r="E432">
        <v>44</v>
      </c>
      <c r="F432" t="s">
        <v>148</v>
      </c>
      <c r="G432" t="s">
        <v>149</v>
      </c>
      <c r="H432" t="s">
        <v>34</v>
      </c>
      <c r="K432">
        <v>1.4</v>
      </c>
      <c r="L432">
        <v>0</v>
      </c>
      <c r="M432" s="1">
        <v>0.93</v>
      </c>
    </row>
    <row r="433" spans="1:13" x14ac:dyDescent="0.3">
      <c r="A433" t="s">
        <v>938</v>
      </c>
      <c r="B433" t="s">
        <v>939</v>
      </c>
      <c r="C433" t="str">
        <f>RIGHT(B433, LEN(B433) - FIND(". ", B433))</f>
        <v xml:space="preserve"> Paul Williamson</v>
      </c>
      <c r="D433" t="s">
        <v>45</v>
      </c>
      <c r="E433">
        <v>40</v>
      </c>
      <c r="F433" t="s">
        <v>89</v>
      </c>
      <c r="G433" t="s">
        <v>90</v>
      </c>
      <c r="H433" t="s">
        <v>42</v>
      </c>
      <c r="I433">
        <v>13</v>
      </c>
      <c r="J433" t="s">
        <v>23</v>
      </c>
      <c r="K433">
        <v>1.1000000000000001</v>
      </c>
      <c r="L433">
        <v>1</v>
      </c>
    </row>
    <row r="434" spans="1:13" x14ac:dyDescent="0.3">
      <c r="A434" t="s">
        <v>940</v>
      </c>
      <c r="B434" t="s">
        <v>941</v>
      </c>
      <c r="C434" t="str">
        <f t="shared" ref="C434:C453" si="10">B434</f>
        <v>Barbara Brown</v>
      </c>
      <c r="D434" t="s">
        <v>33</v>
      </c>
      <c r="E434">
        <v>53</v>
      </c>
      <c r="F434" t="s">
        <v>40</v>
      </c>
      <c r="G434" t="s">
        <v>41</v>
      </c>
      <c r="H434" t="s">
        <v>110</v>
      </c>
      <c r="I434">
        <v>13</v>
      </c>
      <c r="J434" s="2">
        <v>50</v>
      </c>
      <c r="K434">
        <v>3.3</v>
      </c>
      <c r="L434" t="s">
        <v>70</v>
      </c>
      <c r="M434" s="1">
        <v>0.93</v>
      </c>
    </row>
    <row r="435" spans="1:13" x14ac:dyDescent="0.3">
      <c r="A435" t="s">
        <v>942</v>
      </c>
      <c r="B435" t="s">
        <v>943</v>
      </c>
      <c r="C435" t="str">
        <f t="shared" si="10"/>
        <v>Kimberly Allen</v>
      </c>
      <c r="D435" t="s">
        <v>13</v>
      </c>
      <c r="E435">
        <v>35</v>
      </c>
      <c r="F435" t="s">
        <v>27</v>
      </c>
      <c r="G435" t="s">
        <v>28</v>
      </c>
      <c r="H435" t="s">
        <v>16</v>
      </c>
      <c r="I435">
        <v>0</v>
      </c>
      <c r="J435" t="s">
        <v>105</v>
      </c>
      <c r="K435">
        <v>4.5999999999999996</v>
      </c>
      <c r="M435" s="1">
        <v>0.97</v>
      </c>
    </row>
    <row r="436" spans="1:13" x14ac:dyDescent="0.3">
      <c r="A436" t="s">
        <v>944</v>
      </c>
      <c r="B436" t="s">
        <v>945</v>
      </c>
      <c r="C436" t="str">
        <f t="shared" si="10"/>
        <v>Elizabeth Edwards</v>
      </c>
      <c r="D436" t="s">
        <v>19</v>
      </c>
      <c r="E436">
        <v>27</v>
      </c>
      <c r="F436" t="s">
        <v>67</v>
      </c>
      <c r="G436" t="s">
        <v>68</v>
      </c>
      <c r="H436" t="s">
        <v>110</v>
      </c>
      <c r="I436">
        <v>7</v>
      </c>
      <c r="J436" t="s">
        <v>49</v>
      </c>
      <c r="K436">
        <v>2.8</v>
      </c>
      <c r="L436">
        <v>1</v>
      </c>
      <c r="M436" s="1">
        <v>0.92</v>
      </c>
    </row>
    <row r="437" spans="1:13" x14ac:dyDescent="0.3">
      <c r="A437" t="s">
        <v>946</v>
      </c>
      <c r="B437" t="s">
        <v>947</v>
      </c>
      <c r="C437" t="str">
        <f t="shared" si="10"/>
        <v>Anthony Downs</v>
      </c>
      <c r="D437" t="s">
        <v>58</v>
      </c>
      <c r="E437">
        <v>34</v>
      </c>
      <c r="F437" t="s">
        <v>20</v>
      </c>
      <c r="G437" t="s">
        <v>21</v>
      </c>
      <c r="H437" t="s">
        <v>85</v>
      </c>
      <c r="I437">
        <v>6</v>
      </c>
      <c r="J437">
        <v>50</v>
      </c>
      <c r="K437">
        <v>5</v>
      </c>
      <c r="L437" t="s">
        <v>70</v>
      </c>
      <c r="M437" s="1">
        <v>0.92</v>
      </c>
    </row>
    <row r="438" spans="1:13" x14ac:dyDescent="0.3">
      <c r="A438" t="s">
        <v>948</v>
      </c>
      <c r="B438" t="s">
        <v>949</v>
      </c>
      <c r="C438" t="str">
        <f t="shared" si="10"/>
        <v>Jack Ortega</v>
      </c>
      <c r="D438" t="s">
        <v>26</v>
      </c>
      <c r="E438">
        <v>24</v>
      </c>
      <c r="F438" t="s">
        <v>89</v>
      </c>
      <c r="G438" t="s">
        <v>90</v>
      </c>
      <c r="H438" t="s">
        <v>74</v>
      </c>
      <c r="I438">
        <v>2</v>
      </c>
      <c r="J438">
        <v>75</v>
      </c>
      <c r="K438">
        <v>4.7</v>
      </c>
      <c r="L438" t="s">
        <v>154</v>
      </c>
      <c r="M438" s="1">
        <v>0.68</v>
      </c>
    </row>
    <row r="439" spans="1:13" x14ac:dyDescent="0.3">
      <c r="A439" t="s">
        <v>950</v>
      </c>
      <c r="B439" t="s">
        <v>951</v>
      </c>
      <c r="C439" t="str">
        <f t="shared" si="10"/>
        <v>Marvin Moore</v>
      </c>
      <c r="D439" t="s">
        <v>26</v>
      </c>
      <c r="E439">
        <v>57</v>
      </c>
      <c r="F439" t="s">
        <v>55</v>
      </c>
      <c r="G439" t="s">
        <v>21</v>
      </c>
      <c r="H439" t="s">
        <v>69</v>
      </c>
      <c r="I439">
        <v>13</v>
      </c>
      <c r="J439">
        <v>100</v>
      </c>
      <c r="K439">
        <v>3.5</v>
      </c>
      <c r="L439" t="s">
        <v>154</v>
      </c>
      <c r="M439" s="1">
        <v>0.95</v>
      </c>
    </row>
    <row r="440" spans="1:13" x14ac:dyDescent="0.3">
      <c r="A440" t="s">
        <v>952</v>
      </c>
      <c r="B440" t="s">
        <v>953</v>
      </c>
      <c r="C440" t="str">
        <f t="shared" si="10"/>
        <v>Tony French</v>
      </c>
      <c r="D440" t="s">
        <v>45</v>
      </c>
      <c r="E440">
        <v>28</v>
      </c>
      <c r="F440" t="s">
        <v>108</v>
      </c>
      <c r="G440" t="s">
        <v>109</v>
      </c>
      <c r="H440" t="s">
        <v>69</v>
      </c>
      <c r="I440">
        <v>7</v>
      </c>
      <c r="J440" s="2">
        <v>100</v>
      </c>
      <c r="K440">
        <v>4.3</v>
      </c>
      <c r="L440" t="b">
        <v>0</v>
      </c>
      <c r="M440" s="1">
        <v>0.76</v>
      </c>
    </row>
    <row r="441" spans="1:13" x14ac:dyDescent="0.3">
      <c r="A441" t="s">
        <v>954</v>
      </c>
      <c r="B441" t="s">
        <v>955</v>
      </c>
      <c r="C441" t="str">
        <f t="shared" si="10"/>
        <v>Stacy Hudson</v>
      </c>
      <c r="D441" t="s">
        <v>33</v>
      </c>
      <c r="E441">
        <v>26</v>
      </c>
      <c r="F441" t="s">
        <v>14</v>
      </c>
      <c r="G441" t="s">
        <v>15</v>
      </c>
      <c r="H441" t="s">
        <v>85</v>
      </c>
      <c r="I441">
        <v>7</v>
      </c>
      <c r="J441" t="s">
        <v>23</v>
      </c>
      <c r="K441">
        <v>3.3</v>
      </c>
      <c r="L441" t="s">
        <v>64</v>
      </c>
      <c r="M441" s="1">
        <v>0.66</v>
      </c>
    </row>
    <row r="442" spans="1:13" x14ac:dyDescent="0.3">
      <c r="A442" t="s">
        <v>956</v>
      </c>
      <c r="B442" t="s">
        <v>957</v>
      </c>
      <c r="C442" t="str">
        <f t="shared" si="10"/>
        <v>Scott Washington</v>
      </c>
      <c r="D442" t="s">
        <v>93</v>
      </c>
      <c r="E442">
        <v>34</v>
      </c>
      <c r="F442" t="s">
        <v>67</v>
      </c>
      <c r="G442" t="s">
        <v>68</v>
      </c>
      <c r="H442" t="s">
        <v>22</v>
      </c>
      <c r="I442">
        <v>15</v>
      </c>
      <c r="J442">
        <v>75</v>
      </c>
      <c r="L442">
        <v>0</v>
      </c>
      <c r="M442" s="1">
        <v>0.73</v>
      </c>
    </row>
    <row r="443" spans="1:13" x14ac:dyDescent="0.3">
      <c r="A443" t="s">
        <v>958</v>
      </c>
      <c r="B443" t="s">
        <v>959</v>
      </c>
      <c r="C443" t="str">
        <f t="shared" si="10"/>
        <v>Timothy Wright</v>
      </c>
      <c r="D443" t="s">
        <v>93</v>
      </c>
      <c r="E443">
        <v>43</v>
      </c>
      <c r="F443" t="s">
        <v>81</v>
      </c>
      <c r="G443" t="s">
        <v>82</v>
      </c>
      <c r="H443" t="s">
        <v>42</v>
      </c>
      <c r="J443" t="s">
        <v>307</v>
      </c>
      <c r="K443">
        <v>2.8</v>
      </c>
      <c r="M443" s="1">
        <v>0.99</v>
      </c>
    </row>
    <row r="444" spans="1:13" x14ac:dyDescent="0.3">
      <c r="A444" t="s">
        <v>960</v>
      </c>
      <c r="B444" t="s">
        <v>961</v>
      </c>
      <c r="C444" t="str">
        <f t="shared" si="10"/>
        <v>Joseph Gonzalez</v>
      </c>
      <c r="D444" t="s">
        <v>88</v>
      </c>
      <c r="E444">
        <v>31</v>
      </c>
      <c r="F444" t="s">
        <v>169</v>
      </c>
      <c r="G444" t="s">
        <v>170</v>
      </c>
      <c r="H444" t="s">
        <v>29</v>
      </c>
      <c r="I444">
        <v>5</v>
      </c>
      <c r="K444">
        <v>2.7</v>
      </c>
      <c r="L444">
        <v>1</v>
      </c>
      <c r="M444">
        <v>94</v>
      </c>
    </row>
    <row r="445" spans="1:13" x14ac:dyDescent="0.3">
      <c r="A445" t="s">
        <v>962</v>
      </c>
      <c r="B445" t="s">
        <v>963</v>
      </c>
      <c r="C445" t="str">
        <f t="shared" si="10"/>
        <v>Andrea Perez</v>
      </c>
      <c r="D445" t="s">
        <v>19</v>
      </c>
      <c r="E445">
        <v>34</v>
      </c>
      <c r="F445" t="s">
        <v>169</v>
      </c>
      <c r="G445" t="s">
        <v>170</v>
      </c>
      <c r="H445" t="s">
        <v>16</v>
      </c>
      <c r="J445" s="2">
        <v>50</v>
      </c>
      <c r="K445">
        <v>0</v>
      </c>
      <c r="L445" t="b">
        <v>0</v>
      </c>
      <c r="M445">
        <v>84</v>
      </c>
    </row>
    <row r="446" spans="1:13" x14ac:dyDescent="0.3">
      <c r="A446" t="s">
        <v>964</v>
      </c>
      <c r="B446" t="s">
        <v>965</v>
      </c>
      <c r="C446" t="str">
        <f t="shared" si="10"/>
        <v>Angel Collins</v>
      </c>
      <c r="D446" t="s">
        <v>33</v>
      </c>
      <c r="E446">
        <v>32</v>
      </c>
      <c r="F446" t="s">
        <v>119</v>
      </c>
      <c r="G446" t="s">
        <v>120</v>
      </c>
      <c r="H446" t="s">
        <v>74</v>
      </c>
      <c r="I446">
        <v>10</v>
      </c>
      <c r="J446" s="2">
        <v>20</v>
      </c>
      <c r="L446" t="s">
        <v>70</v>
      </c>
      <c r="M446" s="1">
        <v>0.92</v>
      </c>
    </row>
    <row r="447" spans="1:13" x14ac:dyDescent="0.3">
      <c r="A447" t="s">
        <v>966</v>
      </c>
      <c r="B447" t="s">
        <v>967</v>
      </c>
      <c r="C447" t="str">
        <f t="shared" si="10"/>
        <v>Daniel Terry</v>
      </c>
      <c r="D447" t="s">
        <v>45</v>
      </c>
      <c r="E447">
        <v>24</v>
      </c>
      <c r="F447" t="s">
        <v>134</v>
      </c>
      <c r="G447" t="s">
        <v>135</v>
      </c>
      <c r="H447" t="s">
        <v>85</v>
      </c>
      <c r="I447">
        <v>6</v>
      </c>
      <c r="J447" s="2">
        <v>75</v>
      </c>
      <c r="K447">
        <v>4.3</v>
      </c>
      <c r="L447" t="s">
        <v>64</v>
      </c>
    </row>
    <row r="448" spans="1:13" x14ac:dyDescent="0.3">
      <c r="A448" t="s">
        <v>968</v>
      </c>
      <c r="B448" t="s">
        <v>969</v>
      </c>
      <c r="C448" t="str">
        <f t="shared" si="10"/>
        <v>Steven Whitaker</v>
      </c>
      <c r="D448" t="s">
        <v>26</v>
      </c>
      <c r="E448">
        <v>35</v>
      </c>
      <c r="F448" t="s">
        <v>63</v>
      </c>
      <c r="G448" t="s">
        <v>21</v>
      </c>
      <c r="H448" t="s">
        <v>42</v>
      </c>
      <c r="I448">
        <v>8</v>
      </c>
      <c r="J448" t="s">
        <v>94</v>
      </c>
      <c r="L448" t="s">
        <v>154</v>
      </c>
      <c r="M448">
        <v>90</v>
      </c>
    </row>
    <row r="449" spans="1:13" x14ac:dyDescent="0.3">
      <c r="A449" t="s">
        <v>970</v>
      </c>
      <c r="B449" t="s">
        <v>971</v>
      </c>
      <c r="C449" t="str">
        <f t="shared" si="10"/>
        <v>Denise Neal</v>
      </c>
      <c r="D449" t="s">
        <v>19</v>
      </c>
      <c r="E449">
        <v>22</v>
      </c>
      <c r="F449" t="s">
        <v>20</v>
      </c>
      <c r="G449" t="s">
        <v>21</v>
      </c>
      <c r="H449" t="s">
        <v>22</v>
      </c>
      <c r="I449">
        <v>4</v>
      </c>
      <c r="J449">
        <v>20</v>
      </c>
      <c r="L449">
        <v>0</v>
      </c>
      <c r="M449" s="1">
        <v>0.73</v>
      </c>
    </row>
    <row r="450" spans="1:13" x14ac:dyDescent="0.3">
      <c r="A450" t="s">
        <v>972</v>
      </c>
      <c r="B450" t="s">
        <v>973</v>
      </c>
      <c r="C450" t="str">
        <f t="shared" si="10"/>
        <v>Amanda Jacobs</v>
      </c>
      <c r="D450" t="s">
        <v>33</v>
      </c>
      <c r="E450">
        <v>55</v>
      </c>
      <c r="F450" t="s">
        <v>134</v>
      </c>
      <c r="G450" t="s">
        <v>135</v>
      </c>
      <c r="H450" t="s">
        <v>42</v>
      </c>
      <c r="I450">
        <v>3</v>
      </c>
      <c r="J450">
        <v>100</v>
      </c>
      <c r="L450">
        <v>1</v>
      </c>
      <c r="M450" s="1">
        <v>0.73</v>
      </c>
    </row>
    <row r="451" spans="1:13" x14ac:dyDescent="0.3">
      <c r="A451" t="s">
        <v>974</v>
      </c>
      <c r="B451" t="s">
        <v>975</v>
      </c>
      <c r="C451" t="str">
        <f t="shared" si="10"/>
        <v>Karen Mercer</v>
      </c>
      <c r="D451" t="s">
        <v>37</v>
      </c>
      <c r="E451">
        <v>54</v>
      </c>
      <c r="F451" t="s">
        <v>67</v>
      </c>
      <c r="G451" t="s">
        <v>68</v>
      </c>
      <c r="H451" t="s">
        <v>110</v>
      </c>
      <c r="J451">
        <v>30</v>
      </c>
      <c r="K451">
        <v>2.9</v>
      </c>
      <c r="L451" t="b">
        <v>1</v>
      </c>
      <c r="M451" s="1">
        <v>0.78</v>
      </c>
    </row>
    <row r="452" spans="1:13" x14ac:dyDescent="0.3">
      <c r="A452" t="s">
        <v>976</v>
      </c>
      <c r="B452" t="s">
        <v>977</v>
      </c>
      <c r="C452" t="str">
        <f t="shared" si="10"/>
        <v>Lindsay Hudson</v>
      </c>
      <c r="D452" t="s">
        <v>13</v>
      </c>
      <c r="E452">
        <v>36</v>
      </c>
      <c r="F452" t="s">
        <v>40</v>
      </c>
      <c r="G452" t="s">
        <v>41</v>
      </c>
      <c r="H452" t="s">
        <v>74</v>
      </c>
      <c r="I452">
        <v>11</v>
      </c>
      <c r="J452" s="2">
        <v>30</v>
      </c>
      <c r="K452">
        <v>0</v>
      </c>
      <c r="L452" t="b">
        <v>1</v>
      </c>
      <c r="M452" s="1">
        <v>0.63</v>
      </c>
    </row>
    <row r="453" spans="1:13" x14ac:dyDescent="0.3">
      <c r="A453" t="s">
        <v>978</v>
      </c>
      <c r="B453" t="s">
        <v>979</v>
      </c>
      <c r="C453" t="str">
        <f t="shared" si="10"/>
        <v>Stephanie Armstrong</v>
      </c>
      <c r="D453" t="s">
        <v>37</v>
      </c>
      <c r="E453">
        <v>36</v>
      </c>
      <c r="F453" t="s">
        <v>40</v>
      </c>
      <c r="G453" t="s">
        <v>41</v>
      </c>
      <c r="H453" t="s">
        <v>42</v>
      </c>
      <c r="I453">
        <v>17</v>
      </c>
      <c r="J453">
        <v>50</v>
      </c>
      <c r="K453">
        <v>1.3</v>
      </c>
      <c r="M453" s="1">
        <v>0.64</v>
      </c>
    </row>
    <row r="454" spans="1:13" x14ac:dyDescent="0.3">
      <c r="A454" t="s">
        <v>980</v>
      </c>
      <c r="B454" t="s">
        <v>981</v>
      </c>
      <c r="C454" t="str">
        <f>RIGHT(B454, LEN(B454) - FIND(". ", B454))</f>
        <v xml:space="preserve"> Jessica Campbell</v>
      </c>
      <c r="D454" t="s">
        <v>13</v>
      </c>
      <c r="E454">
        <v>25</v>
      </c>
      <c r="F454" t="s">
        <v>67</v>
      </c>
      <c r="G454" t="s">
        <v>68</v>
      </c>
      <c r="H454" t="s">
        <v>34</v>
      </c>
      <c r="I454">
        <v>1</v>
      </c>
      <c r="J454">
        <v>75</v>
      </c>
      <c r="K454">
        <v>0</v>
      </c>
      <c r="L454">
        <v>1</v>
      </c>
    </row>
    <row r="455" spans="1:13" x14ac:dyDescent="0.3">
      <c r="A455" t="s">
        <v>982</v>
      </c>
      <c r="B455" t="s">
        <v>983</v>
      </c>
      <c r="C455" t="str">
        <f t="shared" ref="C455:C462" si="11">B455</f>
        <v>Curtis Maxwell</v>
      </c>
      <c r="D455" t="s">
        <v>93</v>
      </c>
      <c r="E455">
        <v>46</v>
      </c>
      <c r="F455" t="s">
        <v>46</v>
      </c>
      <c r="G455" t="s">
        <v>47</v>
      </c>
      <c r="H455" t="s">
        <v>42</v>
      </c>
      <c r="I455">
        <v>16</v>
      </c>
      <c r="J455">
        <v>20</v>
      </c>
      <c r="K455">
        <v>4.8</v>
      </c>
      <c r="L455">
        <v>1</v>
      </c>
      <c r="M455" s="1">
        <v>0.86</v>
      </c>
    </row>
    <row r="456" spans="1:13" x14ac:dyDescent="0.3">
      <c r="A456" t="s">
        <v>984</v>
      </c>
      <c r="B456" t="s">
        <v>985</v>
      </c>
      <c r="C456" t="str">
        <f t="shared" si="11"/>
        <v>Adam Kelly PhD</v>
      </c>
      <c r="D456" t="s">
        <v>88</v>
      </c>
      <c r="E456">
        <v>41</v>
      </c>
      <c r="F456" t="s">
        <v>67</v>
      </c>
      <c r="G456" t="s">
        <v>68</v>
      </c>
      <c r="H456" t="s">
        <v>110</v>
      </c>
      <c r="I456">
        <v>11</v>
      </c>
      <c r="J456" s="2">
        <v>40</v>
      </c>
      <c r="K456">
        <v>2.4</v>
      </c>
      <c r="L456" t="b">
        <v>0</v>
      </c>
    </row>
    <row r="457" spans="1:13" x14ac:dyDescent="0.3">
      <c r="A457" t="s">
        <v>986</v>
      </c>
      <c r="B457" t="s">
        <v>987</v>
      </c>
      <c r="C457" t="str">
        <f t="shared" si="11"/>
        <v>Julie Becker</v>
      </c>
      <c r="D457" t="s">
        <v>19</v>
      </c>
      <c r="E457">
        <v>21</v>
      </c>
      <c r="F457" t="s">
        <v>119</v>
      </c>
      <c r="G457" t="s">
        <v>120</v>
      </c>
      <c r="H457" t="s">
        <v>22</v>
      </c>
      <c r="I457">
        <v>3</v>
      </c>
      <c r="J457" s="2">
        <v>100</v>
      </c>
      <c r="K457">
        <v>4.7</v>
      </c>
      <c r="L457" t="s">
        <v>30</v>
      </c>
      <c r="M457" s="1">
        <v>0.96</v>
      </c>
    </row>
    <row r="458" spans="1:13" x14ac:dyDescent="0.3">
      <c r="A458" t="s">
        <v>988</v>
      </c>
      <c r="B458" t="s">
        <v>989</v>
      </c>
      <c r="C458" t="str">
        <f t="shared" si="11"/>
        <v>James Moore</v>
      </c>
      <c r="D458" t="s">
        <v>93</v>
      </c>
      <c r="E458">
        <v>29</v>
      </c>
      <c r="F458" t="s">
        <v>55</v>
      </c>
      <c r="G458" t="s">
        <v>21</v>
      </c>
      <c r="H458" t="s">
        <v>29</v>
      </c>
      <c r="J458" s="2">
        <v>75</v>
      </c>
      <c r="K458">
        <v>2</v>
      </c>
      <c r="L458">
        <v>0</v>
      </c>
    </row>
    <row r="459" spans="1:13" x14ac:dyDescent="0.3">
      <c r="A459" t="s">
        <v>990</v>
      </c>
      <c r="B459" t="s">
        <v>991</v>
      </c>
      <c r="C459" t="str">
        <f t="shared" si="11"/>
        <v>Danielle Barrera</v>
      </c>
      <c r="D459" t="s">
        <v>33</v>
      </c>
      <c r="E459">
        <v>44</v>
      </c>
      <c r="F459" t="s">
        <v>55</v>
      </c>
      <c r="G459" t="s">
        <v>21</v>
      </c>
      <c r="H459" t="s">
        <v>22</v>
      </c>
      <c r="I459">
        <v>3</v>
      </c>
      <c r="J459" s="2">
        <v>50</v>
      </c>
      <c r="K459">
        <v>2.2000000000000002</v>
      </c>
      <c r="L459">
        <v>0</v>
      </c>
      <c r="M459" s="1">
        <v>0.77</v>
      </c>
    </row>
    <row r="460" spans="1:13" x14ac:dyDescent="0.3">
      <c r="A460" t="s">
        <v>992</v>
      </c>
      <c r="B460" t="s">
        <v>993</v>
      </c>
      <c r="C460" t="str">
        <f t="shared" si="11"/>
        <v>David Sanchez</v>
      </c>
      <c r="D460" t="s">
        <v>93</v>
      </c>
      <c r="E460">
        <v>40</v>
      </c>
      <c r="F460" t="s">
        <v>123</v>
      </c>
      <c r="G460" t="s">
        <v>21</v>
      </c>
      <c r="H460" t="s">
        <v>110</v>
      </c>
      <c r="I460">
        <v>1</v>
      </c>
      <c r="J460">
        <v>100</v>
      </c>
      <c r="K460">
        <v>2.1</v>
      </c>
      <c r="L460">
        <v>1</v>
      </c>
    </row>
    <row r="461" spans="1:13" x14ac:dyDescent="0.3">
      <c r="A461" t="s">
        <v>994</v>
      </c>
      <c r="B461" t="s">
        <v>995</v>
      </c>
      <c r="C461" t="str">
        <f t="shared" si="11"/>
        <v>Tiffany Bowman</v>
      </c>
      <c r="D461" t="s">
        <v>37</v>
      </c>
      <c r="E461">
        <v>27</v>
      </c>
      <c r="F461" t="s">
        <v>134</v>
      </c>
      <c r="G461" t="s">
        <v>135</v>
      </c>
      <c r="H461" t="s">
        <v>48</v>
      </c>
      <c r="I461">
        <v>1</v>
      </c>
      <c r="J461">
        <v>30</v>
      </c>
      <c r="K461">
        <v>1.7</v>
      </c>
      <c r="L461" t="b">
        <v>0</v>
      </c>
      <c r="M461" s="1">
        <v>0.65</v>
      </c>
    </row>
    <row r="462" spans="1:13" x14ac:dyDescent="0.3">
      <c r="A462" t="s">
        <v>996</v>
      </c>
      <c r="B462" t="s">
        <v>997</v>
      </c>
      <c r="C462" t="str">
        <f t="shared" si="11"/>
        <v>Jesus Quinn</v>
      </c>
      <c r="D462" t="s">
        <v>58</v>
      </c>
      <c r="E462">
        <v>53</v>
      </c>
      <c r="F462" t="s">
        <v>130</v>
      </c>
      <c r="G462" t="s">
        <v>131</v>
      </c>
      <c r="H462" t="s">
        <v>22</v>
      </c>
      <c r="I462">
        <v>35</v>
      </c>
      <c r="K462">
        <v>5</v>
      </c>
      <c r="L462">
        <v>1</v>
      </c>
      <c r="M462" s="1">
        <v>0.62</v>
      </c>
    </row>
    <row r="463" spans="1:13" x14ac:dyDescent="0.3">
      <c r="A463" t="s">
        <v>998</v>
      </c>
      <c r="B463" t="s">
        <v>999</v>
      </c>
      <c r="C463" t="str">
        <f>RIGHT(B463, LEN(B463) - FIND(". ", B463))</f>
        <v xml:space="preserve"> Danny Morris DDS</v>
      </c>
      <c r="D463" t="s">
        <v>26</v>
      </c>
      <c r="E463">
        <v>20</v>
      </c>
      <c r="F463" t="s">
        <v>59</v>
      </c>
      <c r="G463" t="s">
        <v>60</v>
      </c>
      <c r="H463" t="s">
        <v>48</v>
      </c>
      <c r="I463">
        <v>1</v>
      </c>
      <c r="J463">
        <v>50</v>
      </c>
      <c r="K463">
        <v>2.9</v>
      </c>
      <c r="L463" t="s">
        <v>154</v>
      </c>
      <c r="M463" s="1">
        <v>0.81</v>
      </c>
    </row>
    <row r="464" spans="1:13" x14ac:dyDescent="0.3">
      <c r="A464" t="s">
        <v>1000</v>
      </c>
      <c r="B464" t="s">
        <v>1001</v>
      </c>
      <c r="C464" t="str">
        <f t="shared" ref="C464:C527" si="12">B464</f>
        <v>Nicole York</v>
      </c>
      <c r="D464" t="s">
        <v>37</v>
      </c>
      <c r="F464" t="s">
        <v>81</v>
      </c>
      <c r="G464" t="s">
        <v>82</v>
      </c>
      <c r="H464" t="s">
        <v>85</v>
      </c>
      <c r="I464">
        <v>12</v>
      </c>
      <c r="J464" s="2">
        <v>50</v>
      </c>
      <c r="K464">
        <v>4.0999999999999996</v>
      </c>
      <c r="L464" t="s">
        <v>70</v>
      </c>
      <c r="M464" s="1">
        <v>0.62</v>
      </c>
    </row>
    <row r="465" spans="1:13" x14ac:dyDescent="0.3">
      <c r="A465" t="s">
        <v>1002</v>
      </c>
      <c r="B465" t="s">
        <v>1003</v>
      </c>
      <c r="C465" t="str">
        <f t="shared" si="12"/>
        <v>John Mathis</v>
      </c>
      <c r="D465" t="s">
        <v>26</v>
      </c>
      <c r="E465">
        <v>26</v>
      </c>
      <c r="F465" t="s">
        <v>173</v>
      </c>
      <c r="G465" t="s">
        <v>68</v>
      </c>
      <c r="H465" t="s">
        <v>34</v>
      </c>
      <c r="I465">
        <v>8</v>
      </c>
      <c r="J465">
        <v>40</v>
      </c>
      <c r="K465">
        <v>4.9000000000000004</v>
      </c>
      <c r="L465" t="s">
        <v>30</v>
      </c>
      <c r="M465" s="1">
        <v>0.87</v>
      </c>
    </row>
    <row r="466" spans="1:13" x14ac:dyDescent="0.3">
      <c r="A466" t="s">
        <v>1004</v>
      </c>
      <c r="B466" t="s">
        <v>1005</v>
      </c>
      <c r="C466" t="str">
        <f t="shared" si="12"/>
        <v>Julie Barnett</v>
      </c>
      <c r="D466" t="s">
        <v>37</v>
      </c>
      <c r="E466">
        <v>49</v>
      </c>
      <c r="F466" t="s">
        <v>103</v>
      </c>
      <c r="G466" t="s">
        <v>104</v>
      </c>
      <c r="H466" t="s">
        <v>110</v>
      </c>
      <c r="I466">
        <v>13</v>
      </c>
      <c r="J466" s="2">
        <v>100</v>
      </c>
      <c r="K466">
        <v>2.5</v>
      </c>
      <c r="L466" t="b">
        <v>0</v>
      </c>
    </row>
    <row r="467" spans="1:13" x14ac:dyDescent="0.3">
      <c r="A467" t="s">
        <v>1006</v>
      </c>
      <c r="B467" t="s">
        <v>1007</v>
      </c>
      <c r="C467" t="str">
        <f t="shared" si="12"/>
        <v>Jasmine Harris</v>
      </c>
      <c r="D467" t="s">
        <v>33</v>
      </c>
      <c r="E467">
        <v>20</v>
      </c>
      <c r="F467" t="s">
        <v>134</v>
      </c>
      <c r="G467" t="s">
        <v>135</v>
      </c>
      <c r="H467" t="s">
        <v>48</v>
      </c>
      <c r="I467">
        <v>0</v>
      </c>
      <c r="J467" t="s">
        <v>105</v>
      </c>
      <c r="K467">
        <v>0</v>
      </c>
      <c r="L467">
        <v>1</v>
      </c>
      <c r="M467">
        <v>76</v>
      </c>
    </row>
    <row r="468" spans="1:13" x14ac:dyDescent="0.3">
      <c r="A468" t="s">
        <v>1008</v>
      </c>
      <c r="B468" t="s">
        <v>1009</v>
      </c>
      <c r="C468" t="str">
        <f t="shared" si="12"/>
        <v>Mary Henry</v>
      </c>
      <c r="D468" t="s">
        <v>37</v>
      </c>
      <c r="E468">
        <v>39</v>
      </c>
      <c r="F468" t="s">
        <v>169</v>
      </c>
      <c r="G468" t="s">
        <v>170</v>
      </c>
      <c r="H468" t="s">
        <v>16</v>
      </c>
      <c r="I468">
        <v>11</v>
      </c>
      <c r="J468">
        <v>100</v>
      </c>
      <c r="K468">
        <v>2.8</v>
      </c>
      <c r="M468">
        <v>70</v>
      </c>
    </row>
    <row r="469" spans="1:13" x14ac:dyDescent="0.3">
      <c r="A469" t="s">
        <v>1010</v>
      </c>
      <c r="B469" t="s">
        <v>1011</v>
      </c>
      <c r="C469" t="str">
        <f t="shared" si="12"/>
        <v>Judith Riggs</v>
      </c>
      <c r="D469" t="s">
        <v>33</v>
      </c>
      <c r="E469">
        <v>41</v>
      </c>
      <c r="F469" t="s">
        <v>169</v>
      </c>
      <c r="G469" t="s">
        <v>170</v>
      </c>
      <c r="H469" t="s">
        <v>110</v>
      </c>
      <c r="I469">
        <v>19</v>
      </c>
      <c r="J469">
        <v>100</v>
      </c>
      <c r="K469">
        <v>3.8</v>
      </c>
      <c r="L469" t="s">
        <v>64</v>
      </c>
      <c r="M469" s="1">
        <v>0.71</v>
      </c>
    </row>
    <row r="470" spans="1:13" x14ac:dyDescent="0.3">
      <c r="A470" t="s">
        <v>1012</v>
      </c>
      <c r="B470" t="s">
        <v>1013</v>
      </c>
      <c r="C470" t="str">
        <f t="shared" si="12"/>
        <v>Justin Ruiz</v>
      </c>
      <c r="D470" t="s">
        <v>93</v>
      </c>
      <c r="E470">
        <v>59</v>
      </c>
      <c r="F470" t="s">
        <v>123</v>
      </c>
      <c r="G470" t="s">
        <v>21</v>
      </c>
      <c r="H470" t="s">
        <v>22</v>
      </c>
      <c r="I470">
        <v>30</v>
      </c>
      <c r="J470" t="s">
        <v>105</v>
      </c>
      <c r="K470">
        <v>4.3</v>
      </c>
      <c r="L470">
        <v>1</v>
      </c>
      <c r="M470" s="1">
        <v>0.83</v>
      </c>
    </row>
    <row r="471" spans="1:13" x14ac:dyDescent="0.3">
      <c r="A471" t="s">
        <v>1014</v>
      </c>
      <c r="B471" t="s">
        <v>1015</v>
      </c>
      <c r="C471" t="str">
        <f t="shared" si="12"/>
        <v>Jennifer Sullivan</v>
      </c>
      <c r="D471" t="s">
        <v>73</v>
      </c>
      <c r="E471">
        <v>45</v>
      </c>
      <c r="F471" t="s">
        <v>20</v>
      </c>
      <c r="G471" t="s">
        <v>21</v>
      </c>
      <c r="H471" t="s">
        <v>16</v>
      </c>
      <c r="I471">
        <v>8</v>
      </c>
      <c r="J471">
        <v>40</v>
      </c>
      <c r="K471">
        <v>0</v>
      </c>
      <c r="L471">
        <v>0</v>
      </c>
      <c r="M471">
        <v>78</v>
      </c>
    </row>
    <row r="472" spans="1:13" x14ac:dyDescent="0.3">
      <c r="A472" t="s">
        <v>1016</v>
      </c>
      <c r="B472" t="s">
        <v>1017</v>
      </c>
      <c r="C472" t="str">
        <f t="shared" si="12"/>
        <v>Jesse Moran</v>
      </c>
      <c r="D472" t="s">
        <v>58</v>
      </c>
      <c r="E472">
        <v>22</v>
      </c>
      <c r="F472" t="s">
        <v>46</v>
      </c>
      <c r="G472" t="s">
        <v>47</v>
      </c>
      <c r="H472" t="s">
        <v>74</v>
      </c>
      <c r="I472">
        <v>0</v>
      </c>
      <c r="J472">
        <v>40</v>
      </c>
      <c r="K472">
        <v>1.3</v>
      </c>
      <c r="L472">
        <v>1</v>
      </c>
      <c r="M472" s="1">
        <v>0.78</v>
      </c>
    </row>
    <row r="473" spans="1:13" x14ac:dyDescent="0.3">
      <c r="A473" t="s">
        <v>1018</v>
      </c>
      <c r="B473" t="s">
        <v>1019</v>
      </c>
      <c r="C473" t="str">
        <f t="shared" si="12"/>
        <v>Monica Smith</v>
      </c>
      <c r="D473" t="s">
        <v>13</v>
      </c>
      <c r="E473">
        <v>48</v>
      </c>
      <c r="F473" t="s">
        <v>89</v>
      </c>
      <c r="G473" t="s">
        <v>90</v>
      </c>
      <c r="H473" t="s">
        <v>22</v>
      </c>
      <c r="I473">
        <v>7</v>
      </c>
      <c r="J473">
        <v>50</v>
      </c>
      <c r="K473">
        <v>4.7</v>
      </c>
      <c r="L473" t="s">
        <v>70</v>
      </c>
      <c r="M473" s="1">
        <v>0.6</v>
      </c>
    </row>
    <row r="474" spans="1:13" x14ac:dyDescent="0.3">
      <c r="A474" t="s">
        <v>1020</v>
      </c>
      <c r="B474" t="s">
        <v>1021</v>
      </c>
      <c r="C474" t="str">
        <f t="shared" si="12"/>
        <v>Ian May</v>
      </c>
      <c r="D474" t="s">
        <v>58</v>
      </c>
      <c r="E474">
        <v>36</v>
      </c>
      <c r="F474" t="s">
        <v>130</v>
      </c>
      <c r="G474" t="s">
        <v>131</v>
      </c>
      <c r="H474" t="s">
        <v>16</v>
      </c>
      <c r="I474">
        <v>11</v>
      </c>
      <c r="J474" s="2">
        <v>40</v>
      </c>
      <c r="K474">
        <v>1.3</v>
      </c>
      <c r="L474" t="b">
        <v>1</v>
      </c>
    </row>
    <row r="475" spans="1:13" x14ac:dyDescent="0.3">
      <c r="A475" t="s">
        <v>1022</v>
      </c>
      <c r="B475" t="s">
        <v>1023</v>
      </c>
      <c r="C475" t="str">
        <f t="shared" si="12"/>
        <v>Kayla Meyers</v>
      </c>
      <c r="D475" t="s">
        <v>19</v>
      </c>
      <c r="E475">
        <v>57</v>
      </c>
      <c r="F475" t="s">
        <v>169</v>
      </c>
      <c r="G475" t="s">
        <v>170</v>
      </c>
      <c r="H475" t="s">
        <v>16</v>
      </c>
      <c r="J475">
        <v>75</v>
      </c>
      <c r="K475">
        <v>4.8</v>
      </c>
      <c r="L475">
        <v>1</v>
      </c>
    </row>
    <row r="476" spans="1:13" x14ac:dyDescent="0.3">
      <c r="A476" t="s">
        <v>1024</v>
      </c>
      <c r="B476" t="s">
        <v>1025</v>
      </c>
      <c r="C476" t="str">
        <f t="shared" si="12"/>
        <v>John Bray</v>
      </c>
      <c r="D476" t="s">
        <v>58</v>
      </c>
      <c r="E476">
        <v>42</v>
      </c>
      <c r="F476" t="s">
        <v>55</v>
      </c>
      <c r="G476" t="s">
        <v>21</v>
      </c>
      <c r="H476" t="s">
        <v>69</v>
      </c>
      <c r="I476">
        <v>14</v>
      </c>
      <c r="J476" s="2">
        <v>30</v>
      </c>
      <c r="K476">
        <v>1.3</v>
      </c>
      <c r="L476">
        <v>0</v>
      </c>
      <c r="M476" s="1">
        <v>0.94</v>
      </c>
    </row>
    <row r="477" spans="1:13" x14ac:dyDescent="0.3">
      <c r="A477" t="s">
        <v>1026</v>
      </c>
      <c r="B477" t="s">
        <v>1027</v>
      </c>
      <c r="C477" t="str">
        <f t="shared" si="12"/>
        <v>James Smith</v>
      </c>
      <c r="D477" t="s">
        <v>45</v>
      </c>
      <c r="E477">
        <v>31</v>
      </c>
      <c r="F477" t="s">
        <v>46</v>
      </c>
      <c r="G477" t="s">
        <v>47</v>
      </c>
      <c r="H477" t="s">
        <v>74</v>
      </c>
      <c r="I477">
        <v>11</v>
      </c>
      <c r="J477" s="2">
        <v>50</v>
      </c>
      <c r="K477">
        <v>4.3</v>
      </c>
      <c r="L477">
        <v>0</v>
      </c>
      <c r="M477">
        <v>62</v>
      </c>
    </row>
    <row r="478" spans="1:13" x14ac:dyDescent="0.3">
      <c r="A478" t="s">
        <v>1028</v>
      </c>
      <c r="B478" t="s">
        <v>1029</v>
      </c>
      <c r="C478" t="str">
        <f t="shared" si="12"/>
        <v>Mark Duncan</v>
      </c>
      <c r="D478" t="s">
        <v>88</v>
      </c>
      <c r="E478">
        <v>52</v>
      </c>
      <c r="F478" t="s">
        <v>184</v>
      </c>
      <c r="G478" t="s">
        <v>68</v>
      </c>
      <c r="H478" t="s">
        <v>74</v>
      </c>
      <c r="I478">
        <v>31</v>
      </c>
      <c r="J478">
        <v>30</v>
      </c>
      <c r="L478">
        <v>1</v>
      </c>
    </row>
    <row r="479" spans="1:13" x14ac:dyDescent="0.3">
      <c r="A479" t="s">
        <v>1030</v>
      </c>
      <c r="B479" t="s">
        <v>1031</v>
      </c>
      <c r="C479" t="str">
        <f t="shared" si="12"/>
        <v>Matthew Gay</v>
      </c>
      <c r="D479" t="s">
        <v>88</v>
      </c>
      <c r="E479">
        <v>56</v>
      </c>
      <c r="F479" t="s">
        <v>40</v>
      </c>
      <c r="G479" t="s">
        <v>41</v>
      </c>
      <c r="H479" t="s">
        <v>85</v>
      </c>
      <c r="I479">
        <v>16</v>
      </c>
      <c r="J479" t="s">
        <v>105</v>
      </c>
      <c r="K479">
        <v>0</v>
      </c>
      <c r="L479" t="s">
        <v>64</v>
      </c>
    </row>
    <row r="480" spans="1:13" x14ac:dyDescent="0.3">
      <c r="A480" t="s">
        <v>1032</v>
      </c>
      <c r="B480" t="s">
        <v>1033</v>
      </c>
      <c r="C480" t="str">
        <f t="shared" si="12"/>
        <v>Cheryl Freeman</v>
      </c>
      <c r="D480" t="s">
        <v>73</v>
      </c>
      <c r="E480">
        <v>24</v>
      </c>
      <c r="F480" t="s">
        <v>40</v>
      </c>
      <c r="G480" t="s">
        <v>41</v>
      </c>
      <c r="H480" t="s">
        <v>85</v>
      </c>
      <c r="I480">
        <v>6</v>
      </c>
      <c r="J480">
        <v>30</v>
      </c>
      <c r="K480">
        <v>0</v>
      </c>
      <c r="L480" t="s">
        <v>64</v>
      </c>
      <c r="M480" s="1">
        <v>0.84</v>
      </c>
    </row>
    <row r="481" spans="1:13" x14ac:dyDescent="0.3">
      <c r="A481" t="s">
        <v>1034</v>
      </c>
      <c r="B481" t="s">
        <v>1035</v>
      </c>
      <c r="C481" t="str">
        <f t="shared" si="12"/>
        <v>Patrick Welch</v>
      </c>
      <c r="D481" t="s">
        <v>26</v>
      </c>
      <c r="E481">
        <v>48</v>
      </c>
      <c r="F481" t="s">
        <v>123</v>
      </c>
      <c r="G481" t="s">
        <v>21</v>
      </c>
      <c r="H481" t="s">
        <v>85</v>
      </c>
      <c r="I481">
        <v>21</v>
      </c>
      <c r="J481">
        <v>75</v>
      </c>
      <c r="K481">
        <v>2.7</v>
      </c>
      <c r="L481">
        <v>1</v>
      </c>
    </row>
    <row r="482" spans="1:13" x14ac:dyDescent="0.3">
      <c r="A482" t="s">
        <v>1036</v>
      </c>
      <c r="B482" t="s">
        <v>1037</v>
      </c>
      <c r="C482" t="str">
        <f t="shared" si="12"/>
        <v>Craig Levine</v>
      </c>
      <c r="D482" t="s">
        <v>93</v>
      </c>
      <c r="E482">
        <v>59</v>
      </c>
      <c r="F482" t="s">
        <v>130</v>
      </c>
      <c r="G482" t="s">
        <v>131</v>
      </c>
      <c r="H482" t="s">
        <v>74</v>
      </c>
      <c r="I482">
        <v>13</v>
      </c>
      <c r="J482">
        <v>40</v>
      </c>
      <c r="K482">
        <v>2.4</v>
      </c>
      <c r="L482" t="s">
        <v>154</v>
      </c>
      <c r="M482">
        <v>65</v>
      </c>
    </row>
    <row r="483" spans="1:13" x14ac:dyDescent="0.3">
      <c r="A483" t="s">
        <v>1038</v>
      </c>
      <c r="B483" t="s">
        <v>1039</v>
      </c>
      <c r="C483" t="str">
        <f t="shared" si="12"/>
        <v>Richard Harvey</v>
      </c>
      <c r="D483" t="s">
        <v>58</v>
      </c>
      <c r="F483" t="s">
        <v>63</v>
      </c>
      <c r="G483" t="s">
        <v>21</v>
      </c>
      <c r="H483" t="s">
        <v>34</v>
      </c>
      <c r="J483">
        <v>40</v>
      </c>
      <c r="K483">
        <v>1.9</v>
      </c>
      <c r="L483">
        <v>1</v>
      </c>
      <c r="M483" s="1">
        <v>0.94</v>
      </c>
    </row>
    <row r="484" spans="1:13" x14ac:dyDescent="0.3">
      <c r="A484" t="s">
        <v>1040</v>
      </c>
      <c r="B484" t="s">
        <v>1041</v>
      </c>
      <c r="C484" t="str">
        <f t="shared" si="12"/>
        <v>Bonnie Sherman</v>
      </c>
      <c r="D484" t="s">
        <v>37</v>
      </c>
      <c r="F484" t="s">
        <v>40</v>
      </c>
      <c r="G484" t="s">
        <v>41</v>
      </c>
      <c r="H484" t="s">
        <v>22</v>
      </c>
      <c r="I484">
        <v>11</v>
      </c>
      <c r="J484" s="2">
        <v>20</v>
      </c>
      <c r="K484">
        <v>3.6</v>
      </c>
      <c r="L484" t="s">
        <v>154</v>
      </c>
      <c r="M484" s="1">
        <v>0.69</v>
      </c>
    </row>
    <row r="485" spans="1:13" x14ac:dyDescent="0.3">
      <c r="A485" t="s">
        <v>1042</v>
      </c>
      <c r="B485" t="s">
        <v>1043</v>
      </c>
      <c r="C485" t="str">
        <f t="shared" si="12"/>
        <v>Keith Trujillo</v>
      </c>
      <c r="D485" t="s">
        <v>45</v>
      </c>
      <c r="E485">
        <v>25</v>
      </c>
      <c r="F485" t="s">
        <v>40</v>
      </c>
      <c r="G485" t="s">
        <v>41</v>
      </c>
      <c r="H485" t="s">
        <v>22</v>
      </c>
      <c r="I485">
        <v>0</v>
      </c>
      <c r="J485">
        <v>50</v>
      </c>
      <c r="K485">
        <v>2.9</v>
      </c>
      <c r="L485" t="s">
        <v>64</v>
      </c>
      <c r="M485" s="1">
        <v>0.65</v>
      </c>
    </row>
    <row r="486" spans="1:13" x14ac:dyDescent="0.3">
      <c r="A486" t="s">
        <v>1044</v>
      </c>
      <c r="B486" t="s">
        <v>1045</v>
      </c>
      <c r="C486" t="str">
        <f t="shared" si="12"/>
        <v>Corey Combs</v>
      </c>
      <c r="D486" t="s">
        <v>26</v>
      </c>
      <c r="E486">
        <v>31</v>
      </c>
      <c r="F486" t="s">
        <v>134</v>
      </c>
      <c r="G486" t="s">
        <v>135</v>
      </c>
      <c r="H486" t="s">
        <v>22</v>
      </c>
      <c r="I486">
        <v>2</v>
      </c>
      <c r="J486" s="2">
        <v>75</v>
      </c>
      <c r="K486">
        <v>2.8</v>
      </c>
      <c r="L486" t="b">
        <v>0</v>
      </c>
      <c r="M486" s="1">
        <v>0.6</v>
      </c>
    </row>
    <row r="487" spans="1:13" x14ac:dyDescent="0.3">
      <c r="A487" t="s">
        <v>1046</v>
      </c>
      <c r="B487" t="s">
        <v>1047</v>
      </c>
      <c r="C487" t="str">
        <f t="shared" si="12"/>
        <v>Antonio King</v>
      </c>
      <c r="D487" t="s">
        <v>58</v>
      </c>
      <c r="E487">
        <v>40</v>
      </c>
      <c r="F487" t="s">
        <v>59</v>
      </c>
      <c r="G487" t="s">
        <v>60</v>
      </c>
      <c r="H487" t="s">
        <v>85</v>
      </c>
      <c r="I487">
        <v>12</v>
      </c>
      <c r="J487">
        <v>75</v>
      </c>
      <c r="K487">
        <v>2.6</v>
      </c>
      <c r="L487" t="b">
        <v>0</v>
      </c>
    </row>
    <row r="488" spans="1:13" x14ac:dyDescent="0.3">
      <c r="A488" t="s">
        <v>1048</v>
      </c>
      <c r="B488" t="s">
        <v>668</v>
      </c>
      <c r="C488" t="str">
        <f t="shared" si="12"/>
        <v>Amy Lee</v>
      </c>
      <c r="D488" t="s">
        <v>13</v>
      </c>
      <c r="E488">
        <v>48</v>
      </c>
      <c r="F488" t="s">
        <v>119</v>
      </c>
      <c r="G488" t="s">
        <v>120</v>
      </c>
      <c r="H488" t="s">
        <v>16</v>
      </c>
      <c r="I488">
        <v>13</v>
      </c>
      <c r="J488" s="2">
        <v>100</v>
      </c>
      <c r="K488">
        <v>2.7</v>
      </c>
      <c r="M488" s="1">
        <v>0.62</v>
      </c>
    </row>
    <row r="489" spans="1:13" x14ac:dyDescent="0.3">
      <c r="A489" t="s">
        <v>1049</v>
      </c>
      <c r="B489" t="s">
        <v>1050</v>
      </c>
      <c r="C489" t="str">
        <f t="shared" si="12"/>
        <v>Jennifer Rogers</v>
      </c>
      <c r="D489" t="s">
        <v>13</v>
      </c>
      <c r="E489">
        <v>24</v>
      </c>
      <c r="F489" t="s">
        <v>148</v>
      </c>
      <c r="G489" t="s">
        <v>149</v>
      </c>
      <c r="H489" t="s">
        <v>22</v>
      </c>
      <c r="I489">
        <v>6</v>
      </c>
      <c r="J489">
        <v>30</v>
      </c>
      <c r="K489">
        <v>1.1000000000000001</v>
      </c>
      <c r="L489" t="s">
        <v>64</v>
      </c>
    </row>
    <row r="490" spans="1:13" x14ac:dyDescent="0.3">
      <c r="A490" t="s">
        <v>1051</v>
      </c>
      <c r="B490" t="s">
        <v>1052</v>
      </c>
      <c r="C490" t="str">
        <f t="shared" si="12"/>
        <v>Jeffrey Cooper</v>
      </c>
      <c r="D490" t="s">
        <v>58</v>
      </c>
      <c r="E490">
        <v>33</v>
      </c>
      <c r="F490" t="s">
        <v>46</v>
      </c>
      <c r="G490" t="s">
        <v>47</v>
      </c>
      <c r="H490" t="s">
        <v>34</v>
      </c>
      <c r="I490">
        <v>10</v>
      </c>
      <c r="J490" t="s">
        <v>105</v>
      </c>
      <c r="K490">
        <v>0</v>
      </c>
      <c r="L490" t="s">
        <v>64</v>
      </c>
      <c r="M490" s="1">
        <v>0.89</v>
      </c>
    </row>
    <row r="491" spans="1:13" x14ac:dyDescent="0.3">
      <c r="A491" t="s">
        <v>1053</v>
      </c>
      <c r="B491" t="s">
        <v>1054</v>
      </c>
      <c r="C491" t="str">
        <f t="shared" si="12"/>
        <v>Allison Williams</v>
      </c>
      <c r="D491" t="s">
        <v>73</v>
      </c>
      <c r="E491">
        <v>43</v>
      </c>
      <c r="F491" t="s">
        <v>103</v>
      </c>
      <c r="G491" t="s">
        <v>104</v>
      </c>
      <c r="H491" t="s">
        <v>69</v>
      </c>
      <c r="I491">
        <v>2</v>
      </c>
      <c r="J491" s="2">
        <v>40</v>
      </c>
      <c r="K491">
        <v>0</v>
      </c>
      <c r="L491" t="s">
        <v>64</v>
      </c>
      <c r="M491" s="1">
        <v>0.89</v>
      </c>
    </row>
    <row r="492" spans="1:13" x14ac:dyDescent="0.3">
      <c r="A492" t="s">
        <v>1055</v>
      </c>
      <c r="B492" t="s">
        <v>1056</v>
      </c>
      <c r="C492" t="str">
        <f t="shared" si="12"/>
        <v>Raymond Sherman</v>
      </c>
      <c r="D492" t="s">
        <v>88</v>
      </c>
      <c r="E492">
        <v>43</v>
      </c>
      <c r="F492" t="s">
        <v>184</v>
      </c>
      <c r="G492" t="s">
        <v>68</v>
      </c>
      <c r="H492" t="s">
        <v>16</v>
      </c>
      <c r="I492">
        <v>4</v>
      </c>
      <c r="J492">
        <v>50</v>
      </c>
      <c r="K492">
        <v>0</v>
      </c>
      <c r="L492" t="b">
        <v>1</v>
      </c>
      <c r="M492" s="1">
        <v>1</v>
      </c>
    </row>
    <row r="493" spans="1:13" x14ac:dyDescent="0.3">
      <c r="A493" t="s">
        <v>1057</v>
      </c>
      <c r="B493" t="s">
        <v>1058</v>
      </c>
      <c r="C493" t="str">
        <f t="shared" si="12"/>
        <v>Jennifer Nelson</v>
      </c>
      <c r="D493" t="s">
        <v>19</v>
      </c>
      <c r="E493">
        <v>33</v>
      </c>
      <c r="F493" t="s">
        <v>20</v>
      </c>
      <c r="G493" t="s">
        <v>21</v>
      </c>
      <c r="H493" t="s">
        <v>34</v>
      </c>
      <c r="I493">
        <v>11</v>
      </c>
      <c r="K493">
        <v>4.5999999999999996</v>
      </c>
      <c r="L493" t="s">
        <v>64</v>
      </c>
    </row>
    <row r="494" spans="1:13" x14ac:dyDescent="0.3">
      <c r="A494" t="s">
        <v>1059</v>
      </c>
      <c r="B494" t="s">
        <v>1060</v>
      </c>
      <c r="C494" t="str">
        <f t="shared" si="12"/>
        <v>Jennifer Carter</v>
      </c>
      <c r="D494" t="s">
        <v>19</v>
      </c>
      <c r="E494">
        <v>49</v>
      </c>
      <c r="F494" t="s">
        <v>119</v>
      </c>
      <c r="G494" t="s">
        <v>120</v>
      </c>
      <c r="H494" t="s">
        <v>69</v>
      </c>
      <c r="I494">
        <v>14</v>
      </c>
      <c r="J494">
        <v>40</v>
      </c>
      <c r="K494">
        <v>1.5</v>
      </c>
      <c r="M494" s="1">
        <v>0.6</v>
      </c>
    </row>
    <row r="495" spans="1:13" x14ac:dyDescent="0.3">
      <c r="A495" t="s">
        <v>1061</v>
      </c>
      <c r="B495" t="s">
        <v>1062</v>
      </c>
      <c r="C495" t="str">
        <f t="shared" si="12"/>
        <v>Todd Williams</v>
      </c>
      <c r="D495" t="s">
        <v>45</v>
      </c>
      <c r="E495">
        <v>55</v>
      </c>
      <c r="F495" t="s">
        <v>123</v>
      </c>
      <c r="G495" t="s">
        <v>21</v>
      </c>
      <c r="H495" t="s">
        <v>69</v>
      </c>
      <c r="I495">
        <v>10</v>
      </c>
      <c r="J495">
        <v>40</v>
      </c>
      <c r="K495">
        <v>2</v>
      </c>
      <c r="L495" t="s">
        <v>154</v>
      </c>
      <c r="M495" s="1">
        <v>0.85</v>
      </c>
    </row>
    <row r="496" spans="1:13" x14ac:dyDescent="0.3">
      <c r="A496" t="s">
        <v>1063</v>
      </c>
      <c r="B496" t="s">
        <v>1064</v>
      </c>
      <c r="C496" t="str">
        <f t="shared" si="12"/>
        <v>Emily Horton</v>
      </c>
      <c r="D496" t="s">
        <v>33</v>
      </c>
      <c r="E496">
        <v>33</v>
      </c>
      <c r="F496" t="s">
        <v>108</v>
      </c>
      <c r="G496" t="s">
        <v>109</v>
      </c>
      <c r="H496" t="s">
        <v>29</v>
      </c>
      <c r="I496">
        <v>3</v>
      </c>
      <c r="J496" s="2">
        <v>40</v>
      </c>
      <c r="K496">
        <v>1.6</v>
      </c>
      <c r="M496" s="1">
        <v>0.83</v>
      </c>
    </row>
    <row r="497" spans="1:13" x14ac:dyDescent="0.3">
      <c r="A497" t="s">
        <v>1065</v>
      </c>
      <c r="B497" t="s">
        <v>1066</v>
      </c>
      <c r="C497" t="str">
        <f t="shared" si="12"/>
        <v>Lance Lester</v>
      </c>
      <c r="D497" t="s">
        <v>93</v>
      </c>
      <c r="E497">
        <v>32</v>
      </c>
      <c r="F497" t="s">
        <v>67</v>
      </c>
      <c r="G497" t="s">
        <v>68</v>
      </c>
      <c r="H497" t="s">
        <v>42</v>
      </c>
      <c r="I497">
        <v>3</v>
      </c>
      <c r="J497" s="2">
        <v>30</v>
      </c>
      <c r="K497">
        <v>1.5</v>
      </c>
      <c r="L497" t="s">
        <v>30</v>
      </c>
      <c r="M497" s="1">
        <v>0.96</v>
      </c>
    </row>
    <row r="498" spans="1:13" x14ac:dyDescent="0.3">
      <c r="A498" t="s">
        <v>1067</v>
      </c>
      <c r="B498" t="s">
        <v>1068</v>
      </c>
      <c r="C498" t="str">
        <f t="shared" si="12"/>
        <v>Kevin Flores</v>
      </c>
      <c r="D498" t="s">
        <v>45</v>
      </c>
      <c r="E498">
        <v>58</v>
      </c>
      <c r="F498" t="s">
        <v>40</v>
      </c>
      <c r="G498" t="s">
        <v>41</v>
      </c>
      <c r="H498" t="s">
        <v>16</v>
      </c>
      <c r="I498">
        <v>33</v>
      </c>
      <c r="K498">
        <v>4.0999999999999996</v>
      </c>
      <c r="L498" t="s">
        <v>70</v>
      </c>
      <c r="M498" s="1">
        <v>0.83</v>
      </c>
    </row>
    <row r="499" spans="1:13" x14ac:dyDescent="0.3">
      <c r="A499" t="s">
        <v>1069</v>
      </c>
      <c r="B499" t="s">
        <v>1070</v>
      </c>
      <c r="C499" t="str">
        <f t="shared" si="12"/>
        <v>Aaron Stewart PhD</v>
      </c>
      <c r="D499" t="s">
        <v>26</v>
      </c>
      <c r="E499">
        <v>49</v>
      </c>
      <c r="F499" t="s">
        <v>46</v>
      </c>
      <c r="G499" t="s">
        <v>47</v>
      </c>
      <c r="H499" t="s">
        <v>48</v>
      </c>
      <c r="I499">
        <v>24</v>
      </c>
      <c r="J499">
        <v>100</v>
      </c>
      <c r="K499">
        <v>4.7</v>
      </c>
      <c r="L499">
        <v>0</v>
      </c>
      <c r="M499" s="1">
        <v>0.6</v>
      </c>
    </row>
    <row r="500" spans="1:13" x14ac:dyDescent="0.3">
      <c r="A500" t="s">
        <v>1071</v>
      </c>
      <c r="B500" t="s">
        <v>1072</v>
      </c>
      <c r="C500" t="str">
        <f t="shared" si="12"/>
        <v>Robin Moore</v>
      </c>
      <c r="D500" t="s">
        <v>73</v>
      </c>
      <c r="E500">
        <v>22</v>
      </c>
      <c r="F500" t="s">
        <v>119</v>
      </c>
      <c r="G500" t="s">
        <v>120</v>
      </c>
      <c r="H500" t="s">
        <v>69</v>
      </c>
      <c r="I500">
        <v>3</v>
      </c>
      <c r="J500" t="s">
        <v>23</v>
      </c>
      <c r="K500">
        <v>3.6</v>
      </c>
      <c r="L500">
        <v>1</v>
      </c>
      <c r="M500" s="1">
        <v>0.78</v>
      </c>
    </row>
    <row r="501" spans="1:13" x14ac:dyDescent="0.3">
      <c r="A501" t="s">
        <v>1073</v>
      </c>
      <c r="B501" t="s">
        <v>1074</v>
      </c>
      <c r="C501" t="str">
        <f t="shared" si="12"/>
        <v>Suzanne Ingram</v>
      </c>
      <c r="D501" t="s">
        <v>13</v>
      </c>
      <c r="E501">
        <v>40</v>
      </c>
      <c r="F501" t="s">
        <v>134</v>
      </c>
      <c r="G501" t="s">
        <v>135</v>
      </c>
      <c r="H501" t="s">
        <v>34</v>
      </c>
      <c r="I501">
        <v>11</v>
      </c>
      <c r="J501" s="2">
        <v>20</v>
      </c>
      <c r="K501">
        <v>1.8</v>
      </c>
      <c r="L501">
        <v>1</v>
      </c>
      <c r="M501" s="1">
        <v>0.9</v>
      </c>
    </row>
    <row r="502" spans="1:13" x14ac:dyDescent="0.3">
      <c r="A502" t="s">
        <v>1075</v>
      </c>
      <c r="B502" t="s">
        <v>1076</v>
      </c>
      <c r="C502" t="str">
        <f t="shared" si="12"/>
        <v>Jacob Mclaughlin</v>
      </c>
      <c r="D502" t="s">
        <v>45</v>
      </c>
      <c r="E502">
        <v>55</v>
      </c>
      <c r="F502" t="s">
        <v>20</v>
      </c>
      <c r="G502" t="s">
        <v>21</v>
      </c>
      <c r="H502" t="s">
        <v>48</v>
      </c>
      <c r="I502">
        <v>7</v>
      </c>
      <c r="J502" t="s">
        <v>23</v>
      </c>
      <c r="K502">
        <v>2.1</v>
      </c>
      <c r="L502">
        <v>0</v>
      </c>
      <c r="M502" s="1">
        <v>0.66</v>
      </c>
    </row>
    <row r="503" spans="1:13" x14ac:dyDescent="0.3">
      <c r="A503" t="s">
        <v>1077</v>
      </c>
      <c r="B503" t="s">
        <v>1078</v>
      </c>
      <c r="C503" t="str">
        <f t="shared" si="12"/>
        <v>Michael Nunez</v>
      </c>
      <c r="D503" t="s">
        <v>88</v>
      </c>
      <c r="E503">
        <v>32</v>
      </c>
      <c r="F503" t="s">
        <v>173</v>
      </c>
      <c r="G503" t="s">
        <v>68</v>
      </c>
      <c r="H503" t="s">
        <v>85</v>
      </c>
      <c r="I503">
        <v>1</v>
      </c>
      <c r="J503" s="2">
        <v>50</v>
      </c>
      <c r="L503" t="s">
        <v>64</v>
      </c>
      <c r="M503" s="1">
        <v>0.7</v>
      </c>
    </row>
    <row r="504" spans="1:13" x14ac:dyDescent="0.3">
      <c r="A504" t="s">
        <v>1079</v>
      </c>
      <c r="B504" t="s">
        <v>1080</v>
      </c>
      <c r="C504" t="str">
        <f t="shared" si="12"/>
        <v>Isabel Brown</v>
      </c>
      <c r="D504" t="s">
        <v>19</v>
      </c>
      <c r="E504">
        <v>21</v>
      </c>
      <c r="F504" t="s">
        <v>81</v>
      </c>
      <c r="G504" t="s">
        <v>82</v>
      </c>
      <c r="H504" t="s">
        <v>69</v>
      </c>
      <c r="I504">
        <v>0</v>
      </c>
      <c r="J504" t="s">
        <v>105</v>
      </c>
      <c r="K504">
        <v>4.2</v>
      </c>
      <c r="L504" t="s">
        <v>64</v>
      </c>
      <c r="M504" s="1">
        <v>0.79</v>
      </c>
    </row>
    <row r="505" spans="1:13" x14ac:dyDescent="0.3">
      <c r="A505" t="s">
        <v>1081</v>
      </c>
      <c r="B505" t="s">
        <v>1082</v>
      </c>
      <c r="C505" t="str">
        <f t="shared" si="12"/>
        <v>Michael Stein</v>
      </c>
      <c r="D505" t="s">
        <v>88</v>
      </c>
      <c r="E505">
        <v>23</v>
      </c>
      <c r="F505" t="s">
        <v>108</v>
      </c>
      <c r="G505" t="s">
        <v>109</v>
      </c>
      <c r="H505" t="s">
        <v>16</v>
      </c>
      <c r="I505">
        <v>1</v>
      </c>
      <c r="J505">
        <v>40</v>
      </c>
      <c r="K505">
        <v>0</v>
      </c>
      <c r="L505">
        <v>0</v>
      </c>
      <c r="M505" s="1">
        <v>0.64</v>
      </c>
    </row>
    <row r="506" spans="1:13" x14ac:dyDescent="0.3">
      <c r="A506" t="s">
        <v>1083</v>
      </c>
      <c r="B506" t="s">
        <v>1084</v>
      </c>
      <c r="C506" t="str">
        <f t="shared" si="12"/>
        <v>Robert Stone</v>
      </c>
      <c r="D506" t="s">
        <v>93</v>
      </c>
      <c r="E506">
        <v>21</v>
      </c>
      <c r="F506" t="s">
        <v>63</v>
      </c>
      <c r="G506" t="s">
        <v>21</v>
      </c>
      <c r="H506" t="s">
        <v>22</v>
      </c>
      <c r="I506">
        <v>1</v>
      </c>
      <c r="J506" t="s">
        <v>105</v>
      </c>
      <c r="K506">
        <v>1</v>
      </c>
      <c r="L506" t="s">
        <v>30</v>
      </c>
      <c r="M506" s="1">
        <v>0.81</v>
      </c>
    </row>
    <row r="507" spans="1:13" x14ac:dyDescent="0.3">
      <c r="A507" t="s">
        <v>1085</v>
      </c>
      <c r="B507" t="s">
        <v>1086</v>
      </c>
      <c r="C507" t="str">
        <f t="shared" si="12"/>
        <v>Dillon Henry</v>
      </c>
      <c r="D507" t="s">
        <v>93</v>
      </c>
      <c r="E507">
        <v>31</v>
      </c>
      <c r="F507" t="s">
        <v>67</v>
      </c>
      <c r="G507" t="s">
        <v>68</v>
      </c>
      <c r="H507" t="s">
        <v>42</v>
      </c>
      <c r="I507">
        <v>7</v>
      </c>
      <c r="J507">
        <v>75</v>
      </c>
      <c r="K507">
        <v>4.4000000000000004</v>
      </c>
      <c r="L507">
        <v>0</v>
      </c>
      <c r="M507" s="1">
        <v>0.83</v>
      </c>
    </row>
    <row r="508" spans="1:13" x14ac:dyDescent="0.3">
      <c r="A508" t="s">
        <v>1087</v>
      </c>
      <c r="B508" t="s">
        <v>1088</v>
      </c>
      <c r="C508" t="str">
        <f t="shared" si="12"/>
        <v>James Todd</v>
      </c>
      <c r="D508" t="s">
        <v>88</v>
      </c>
      <c r="E508">
        <v>21</v>
      </c>
      <c r="F508" t="s">
        <v>173</v>
      </c>
      <c r="G508" t="s">
        <v>68</v>
      </c>
      <c r="H508" t="s">
        <v>16</v>
      </c>
      <c r="J508">
        <v>40</v>
      </c>
      <c r="K508">
        <v>4</v>
      </c>
      <c r="L508">
        <v>0</v>
      </c>
      <c r="M508" s="1">
        <v>0.91</v>
      </c>
    </row>
    <row r="509" spans="1:13" x14ac:dyDescent="0.3">
      <c r="A509" t="s">
        <v>1089</v>
      </c>
      <c r="B509" t="s">
        <v>1090</v>
      </c>
      <c r="C509" t="str">
        <f t="shared" si="12"/>
        <v>Clifford Moore MD</v>
      </c>
      <c r="D509" t="s">
        <v>26</v>
      </c>
      <c r="E509">
        <v>33</v>
      </c>
      <c r="F509" t="s">
        <v>63</v>
      </c>
      <c r="G509" t="s">
        <v>21</v>
      </c>
      <c r="H509" t="s">
        <v>74</v>
      </c>
      <c r="I509">
        <v>6</v>
      </c>
      <c r="J509" t="s">
        <v>94</v>
      </c>
      <c r="K509">
        <v>3.1</v>
      </c>
      <c r="L509" t="s">
        <v>30</v>
      </c>
    </row>
    <row r="510" spans="1:13" x14ac:dyDescent="0.3">
      <c r="A510" t="s">
        <v>1091</v>
      </c>
      <c r="B510" t="s">
        <v>1092</v>
      </c>
      <c r="C510" t="str">
        <f t="shared" si="12"/>
        <v>John Rios</v>
      </c>
      <c r="D510" t="s">
        <v>45</v>
      </c>
      <c r="E510">
        <v>57</v>
      </c>
      <c r="F510" t="s">
        <v>103</v>
      </c>
      <c r="G510" t="s">
        <v>104</v>
      </c>
      <c r="H510" t="s">
        <v>34</v>
      </c>
      <c r="I510">
        <v>5</v>
      </c>
      <c r="J510">
        <v>75</v>
      </c>
      <c r="K510">
        <v>1.1000000000000001</v>
      </c>
      <c r="L510" t="b">
        <v>1</v>
      </c>
      <c r="M510" s="1">
        <v>0.77</v>
      </c>
    </row>
    <row r="511" spans="1:13" x14ac:dyDescent="0.3">
      <c r="A511" t="s">
        <v>1093</v>
      </c>
      <c r="B511" t="s">
        <v>1094</v>
      </c>
      <c r="C511" t="str">
        <f t="shared" si="12"/>
        <v>Anthony Gaines</v>
      </c>
      <c r="D511" t="s">
        <v>45</v>
      </c>
      <c r="E511">
        <v>52</v>
      </c>
      <c r="F511" t="s">
        <v>55</v>
      </c>
      <c r="G511" t="s">
        <v>21</v>
      </c>
      <c r="H511" t="s">
        <v>85</v>
      </c>
      <c r="I511">
        <v>17</v>
      </c>
      <c r="J511" t="s">
        <v>49</v>
      </c>
      <c r="K511">
        <v>0</v>
      </c>
      <c r="L511">
        <v>0</v>
      </c>
      <c r="M511" s="1">
        <v>0.94</v>
      </c>
    </row>
    <row r="512" spans="1:13" x14ac:dyDescent="0.3">
      <c r="A512" t="s">
        <v>1095</v>
      </c>
      <c r="B512" t="s">
        <v>1096</v>
      </c>
      <c r="C512" t="str">
        <f t="shared" si="12"/>
        <v>Kristi Brown DVM</v>
      </c>
      <c r="D512" t="s">
        <v>73</v>
      </c>
      <c r="E512">
        <v>21</v>
      </c>
      <c r="F512" t="s">
        <v>27</v>
      </c>
      <c r="G512" t="s">
        <v>28</v>
      </c>
      <c r="H512" t="s">
        <v>34</v>
      </c>
      <c r="I512">
        <v>0</v>
      </c>
      <c r="J512" s="2">
        <v>20</v>
      </c>
      <c r="K512">
        <v>3.8</v>
      </c>
      <c r="L512">
        <v>1</v>
      </c>
      <c r="M512" s="1">
        <v>0.61</v>
      </c>
    </row>
    <row r="513" spans="1:13" x14ac:dyDescent="0.3">
      <c r="A513" t="s">
        <v>1097</v>
      </c>
      <c r="B513" t="s">
        <v>1098</v>
      </c>
      <c r="C513" t="str">
        <f t="shared" si="12"/>
        <v>Ashley Odonnell</v>
      </c>
      <c r="D513" t="s">
        <v>19</v>
      </c>
      <c r="E513">
        <v>36</v>
      </c>
      <c r="F513" t="s">
        <v>67</v>
      </c>
      <c r="G513" t="s">
        <v>68</v>
      </c>
      <c r="H513" t="s">
        <v>69</v>
      </c>
      <c r="I513">
        <v>8</v>
      </c>
      <c r="J513">
        <v>100</v>
      </c>
      <c r="K513">
        <v>1.7</v>
      </c>
      <c r="L513" t="s">
        <v>30</v>
      </c>
      <c r="M513" s="1">
        <v>0.68</v>
      </c>
    </row>
    <row r="514" spans="1:13" x14ac:dyDescent="0.3">
      <c r="A514" t="s">
        <v>1099</v>
      </c>
      <c r="B514" t="s">
        <v>1100</v>
      </c>
      <c r="C514" t="str">
        <f t="shared" si="12"/>
        <v>Ronald Elliott</v>
      </c>
      <c r="D514" t="s">
        <v>26</v>
      </c>
      <c r="E514">
        <v>33</v>
      </c>
      <c r="F514" t="s">
        <v>184</v>
      </c>
      <c r="G514" t="s">
        <v>68</v>
      </c>
      <c r="H514" t="s">
        <v>110</v>
      </c>
      <c r="I514">
        <v>13</v>
      </c>
      <c r="J514">
        <v>50</v>
      </c>
      <c r="K514">
        <v>2.2000000000000002</v>
      </c>
      <c r="L514" t="s">
        <v>30</v>
      </c>
      <c r="M514" s="1">
        <v>0.7</v>
      </c>
    </row>
    <row r="515" spans="1:13" x14ac:dyDescent="0.3">
      <c r="A515" t="s">
        <v>1101</v>
      </c>
      <c r="B515" t="s">
        <v>1102</v>
      </c>
      <c r="C515" t="str">
        <f t="shared" si="12"/>
        <v>Lorraine Lowery</v>
      </c>
      <c r="D515" t="s">
        <v>33</v>
      </c>
      <c r="E515">
        <v>54</v>
      </c>
      <c r="F515" t="s">
        <v>63</v>
      </c>
      <c r="G515" t="s">
        <v>21</v>
      </c>
      <c r="H515" t="s">
        <v>48</v>
      </c>
      <c r="I515">
        <v>15</v>
      </c>
      <c r="J515">
        <v>40</v>
      </c>
      <c r="K515">
        <v>4.0999999999999996</v>
      </c>
      <c r="L515" t="b">
        <v>1</v>
      </c>
      <c r="M515">
        <v>71</v>
      </c>
    </row>
    <row r="516" spans="1:13" x14ac:dyDescent="0.3">
      <c r="A516" t="s">
        <v>1103</v>
      </c>
      <c r="B516" t="s">
        <v>1104</v>
      </c>
      <c r="C516" t="str">
        <f t="shared" si="12"/>
        <v>Victoria Chapman</v>
      </c>
      <c r="D516" t="s">
        <v>37</v>
      </c>
      <c r="E516">
        <v>33</v>
      </c>
      <c r="F516" t="s">
        <v>55</v>
      </c>
      <c r="G516" t="s">
        <v>21</v>
      </c>
      <c r="H516" t="s">
        <v>16</v>
      </c>
      <c r="I516">
        <v>2</v>
      </c>
      <c r="J516" t="s">
        <v>23</v>
      </c>
      <c r="K516">
        <v>3.8</v>
      </c>
      <c r="L516" t="b">
        <v>0</v>
      </c>
    </row>
    <row r="517" spans="1:13" x14ac:dyDescent="0.3">
      <c r="A517" t="s">
        <v>1105</v>
      </c>
      <c r="B517" t="s">
        <v>1106</v>
      </c>
      <c r="C517" t="str">
        <f t="shared" si="12"/>
        <v>Heather Davis</v>
      </c>
      <c r="D517" t="s">
        <v>37</v>
      </c>
      <c r="E517">
        <v>36</v>
      </c>
      <c r="F517" t="s">
        <v>81</v>
      </c>
      <c r="G517" t="s">
        <v>82</v>
      </c>
      <c r="H517" t="s">
        <v>110</v>
      </c>
      <c r="I517">
        <v>9</v>
      </c>
      <c r="J517" s="2">
        <v>30</v>
      </c>
      <c r="K517">
        <v>0</v>
      </c>
      <c r="L517" t="s">
        <v>64</v>
      </c>
      <c r="M517" s="1">
        <v>0.78</v>
      </c>
    </row>
    <row r="518" spans="1:13" x14ac:dyDescent="0.3">
      <c r="A518" t="s">
        <v>1107</v>
      </c>
      <c r="B518" t="s">
        <v>1108</v>
      </c>
      <c r="C518" t="str">
        <f t="shared" si="12"/>
        <v>Diana Chase</v>
      </c>
      <c r="D518" t="s">
        <v>19</v>
      </c>
      <c r="E518">
        <v>36</v>
      </c>
      <c r="F518" t="s">
        <v>59</v>
      </c>
      <c r="G518" t="s">
        <v>60</v>
      </c>
      <c r="H518" t="s">
        <v>42</v>
      </c>
      <c r="I518">
        <v>3</v>
      </c>
      <c r="J518" t="s">
        <v>94</v>
      </c>
      <c r="K518">
        <v>0</v>
      </c>
      <c r="L518" t="s">
        <v>154</v>
      </c>
      <c r="M518">
        <v>75</v>
      </c>
    </row>
    <row r="519" spans="1:13" x14ac:dyDescent="0.3">
      <c r="A519" t="s">
        <v>1109</v>
      </c>
      <c r="B519" t="s">
        <v>1110</v>
      </c>
      <c r="C519" t="str">
        <f t="shared" si="12"/>
        <v>Danielle Adkins</v>
      </c>
      <c r="D519" t="s">
        <v>33</v>
      </c>
      <c r="E519">
        <v>43</v>
      </c>
      <c r="F519" t="s">
        <v>169</v>
      </c>
      <c r="G519" t="s">
        <v>170</v>
      </c>
      <c r="H519" t="s">
        <v>42</v>
      </c>
      <c r="I519">
        <v>15</v>
      </c>
      <c r="J519" s="2">
        <v>20</v>
      </c>
      <c r="K519">
        <v>4.2</v>
      </c>
      <c r="L519" t="b">
        <v>1</v>
      </c>
      <c r="M519" s="1">
        <v>0.91</v>
      </c>
    </row>
    <row r="520" spans="1:13" x14ac:dyDescent="0.3">
      <c r="A520" t="s">
        <v>1111</v>
      </c>
      <c r="B520" t="s">
        <v>1112</v>
      </c>
      <c r="C520" t="str">
        <f t="shared" si="12"/>
        <v>Kenneth Arias</v>
      </c>
      <c r="D520" t="s">
        <v>93</v>
      </c>
      <c r="E520">
        <v>52</v>
      </c>
      <c r="F520" t="s">
        <v>63</v>
      </c>
      <c r="G520" t="s">
        <v>21</v>
      </c>
      <c r="H520" t="s">
        <v>48</v>
      </c>
      <c r="I520">
        <v>21</v>
      </c>
      <c r="J520" t="s">
        <v>49</v>
      </c>
      <c r="K520">
        <v>2.2000000000000002</v>
      </c>
      <c r="L520">
        <v>1</v>
      </c>
      <c r="M520" s="1">
        <v>0.66</v>
      </c>
    </row>
    <row r="521" spans="1:13" x14ac:dyDescent="0.3">
      <c r="A521" t="s">
        <v>1113</v>
      </c>
      <c r="B521" t="s">
        <v>1114</v>
      </c>
      <c r="C521" t="str">
        <f t="shared" si="12"/>
        <v>Victoria Owen</v>
      </c>
      <c r="D521" t="s">
        <v>33</v>
      </c>
      <c r="E521">
        <v>28</v>
      </c>
      <c r="F521" t="s">
        <v>46</v>
      </c>
      <c r="G521" t="s">
        <v>47</v>
      </c>
      <c r="H521" t="s">
        <v>74</v>
      </c>
      <c r="I521">
        <v>2</v>
      </c>
      <c r="J521" t="s">
        <v>49</v>
      </c>
      <c r="K521">
        <v>1.5</v>
      </c>
      <c r="L521">
        <v>1</v>
      </c>
      <c r="M521" s="1">
        <v>0.68</v>
      </c>
    </row>
    <row r="522" spans="1:13" x14ac:dyDescent="0.3">
      <c r="A522" t="s">
        <v>1115</v>
      </c>
      <c r="B522" t="s">
        <v>1116</v>
      </c>
      <c r="C522" t="str">
        <f t="shared" si="12"/>
        <v>Christina King</v>
      </c>
      <c r="D522" t="s">
        <v>73</v>
      </c>
      <c r="E522">
        <v>47</v>
      </c>
      <c r="F522" t="s">
        <v>169</v>
      </c>
      <c r="G522" t="s">
        <v>170</v>
      </c>
      <c r="H522" t="s">
        <v>74</v>
      </c>
      <c r="I522">
        <v>21</v>
      </c>
      <c r="J522" s="2">
        <v>100</v>
      </c>
      <c r="K522">
        <v>0</v>
      </c>
      <c r="L522" t="s">
        <v>30</v>
      </c>
    </row>
    <row r="523" spans="1:13" x14ac:dyDescent="0.3">
      <c r="A523" t="s">
        <v>1117</v>
      </c>
      <c r="B523" t="s">
        <v>1118</v>
      </c>
      <c r="C523" t="str">
        <f t="shared" si="12"/>
        <v>Samantha King</v>
      </c>
      <c r="D523" t="s">
        <v>37</v>
      </c>
      <c r="E523">
        <v>30</v>
      </c>
      <c r="F523" t="s">
        <v>130</v>
      </c>
      <c r="G523" t="s">
        <v>131</v>
      </c>
      <c r="H523" t="s">
        <v>85</v>
      </c>
      <c r="I523">
        <v>0</v>
      </c>
      <c r="J523" t="s">
        <v>23</v>
      </c>
      <c r="K523">
        <v>4.0999999999999996</v>
      </c>
      <c r="L523">
        <v>0</v>
      </c>
      <c r="M523" s="1">
        <v>0.62</v>
      </c>
    </row>
    <row r="524" spans="1:13" x14ac:dyDescent="0.3">
      <c r="A524" t="s">
        <v>1119</v>
      </c>
      <c r="B524" t="s">
        <v>1120</v>
      </c>
      <c r="C524" t="str">
        <f t="shared" si="12"/>
        <v>Scott Compton</v>
      </c>
      <c r="D524" t="s">
        <v>45</v>
      </c>
      <c r="E524">
        <v>36</v>
      </c>
      <c r="F524" t="s">
        <v>134</v>
      </c>
      <c r="G524" t="s">
        <v>135</v>
      </c>
      <c r="H524" t="s">
        <v>16</v>
      </c>
      <c r="I524">
        <v>4</v>
      </c>
      <c r="J524">
        <v>40</v>
      </c>
      <c r="K524">
        <v>2.6</v>
      </c>
      <c r="L524" t="s">
        <v>154</v>
      </c>
      <c r="M524" s="1">
        <v>0.9</v>
      </c>
    </row>
    <row r="525" spans="1:13" x14ac:dyDescent="0.3">
      <c r="A525" t="s">
        <v>1121</v>
      </c>
      <c r="B525" t="s">
        <v>1122</v>
      </c>
      <c r="C525" t="str">
        <f t="shared" si="12"/>
        <v>Monica West</v>
      </c>
      <c r="D525" t="s">
        <v>19</v>
      </c>
      <c r="E525">
        <v>45</v>
      </c>
      <c r="F525" t="s">
        <v>55</v>
      </c>
      <c r="G525" t="s">
        <v>21</v>
      </c>
      <c r="H525" t="s">
        <v>69</v>
      </c>
      <c r="I525">
        <v>23</v>
      </c>
      <c r="J525">
        <v>100</v>
      </c>
      <c r="K525">
        <v>2.4</v>
      </c>
      <c r="L525" t="b">
        <v>0</v>
      </c>
      <c r="M525" s="1">
        <v>0.96</v>
      </c>
    </row>
    <row r="526" spans="1:13" x14ac:dyDescent="0.3">
      <c r="A526" t="s">
        <v>1123</v>
      </c>
      <c r="B526" t="s">
        <v>1124</v>
      </c>
      <c r="C526" t="str">
        <f t="shared" si="12"/>
        <v>Theresa Stewart</v>
      </c>
      <c r="D526" t="s">
        <v>33</v>
      </c>
      <c r="E526">
        <v>51</v>
      </c>
      <c r="F526" t="s">
        <v>55</v>
      </c>
      <c r="G526" t="s">
        <v>21</v>
      </c>
      <c r="H526" t="s">
        <v>16</v>
      </c>
      <c r="I526">
        <v>25</v>
      </c>
      <c r="J526">
        <v>50</v>
      </c>
      <c r="K526">
        <v>1.4</v>
      </c>
      <c r="L526" t="s">
        <v>70</v>
      </c>
      <c r="M526" s="1">
        <v>0.6</v>
      </c>
    </row>
    <row r="527" spans="1:13" x14ac:dyDescent="0.3">
      <c r="A527" t="s">
        <v>1125</v>
      </c>
      <c r="B527" t="s">
        <v>1126</v>
      </c>
      <c r="C527" t="str">
        <f t="shared" si="12"/>
        <v>Steven Kim</v>
      </c>
      <c r="D527" t="s">
        <v>45</v>
      </c>
      <c r="E527">
        <v>46</v>
      </c>
      <c r="F527" t="s">
        <v>59</v>
      </c>
      <c r="G527" t="s">
        <v>60</v>
      </c>
      <c r="H527" t="s">
        <v>22</v>
      </c>
      <c r="I527">
        <v>10</v>
      </c>
      <c r="K527">
        <v>4.5999999999999996</v>
      </c>
      <c r="L527" t="s">
        <v>70</v>
      </c>
      <c r="M527" s="1">
        <v>0.62</v>
      </c>
    </row>
    <row r="528" spans="1:13" x14ac:dyDescent="0.3">
      <c r="A528" t="s">
        <v>1127</v>
      </c>
      <c r="B528" t="s">
        <v>1128</v>
      </c>
      <c r="C528" t="str">
        <f t="shared" ref="C528:C591" si="13">B528</f>
        <v>Kristi Knight</v>
      </c>
      <c r="D528" t="s">
        <v>19</v>
      </c>
      <c r="E528">
        <v>38</v>
      </c>
      <c r="F528" t="s">
        <v>14</v>
      </c>
      <c r="G528" t="s">
        <v>15</v>
      </c>
      <c r="H528" t="s">
        <v>48</v>
      </c>
      <c r="I528">
        <v>18</v>
      </c>
      <c r="J528" t="s">
        <v>52</v>
      </c>
      <c r="K528">
        <v>4.9000000000000004</v>
      </c>
      <c r="L528" t="b">
        <v>0</v>
      </c>
      <c r="M528" s="1">
        <v>0.74</v>
      </c>
    </row>
    <row r="529" spans="1:13" x14ac:dyDescent="0.3">
      <c r="A529" t="s">
        <v>1129</v>
      </c>
      <c r="B529" t="s">
        <v>1130</v>
      </c>
      <c r="C529" t="str">
        <f t="shared" si="13"/>
        <v>Jason Bryant</v>
      </c>
      <c r="D529" t="s">
        <v>93</v>
      </c>
      <c r="E529">
        <v>26</v>
      </c>
      <c r="F529" t="s">
        <v>184</v>
      </c>
      <c r="G529" t="s">
        <v>68</v>
      </c>
      <c r="H529" t="s">
        <v>16</v>
      </c>
      <c r="I529">
        <v>1</v>
      </c>
      <c r="J529" s="2">
        <v>20</v>
      </c>
      <c r="K529">
        <v>0</v>
      </c>
      <c r="L529">
        <v>1</v>
      </c>
    </row>
    <row r="530" spans="1:13" x14ac:dyDescent="0.3">
      <c r="A530" t="s">
        <v>1131</v>
      </c>
      <c r="B530" t="s">
        <v>1132</v>
      </c>
      <c r="C530" t="str">
        <f t="shared" si="13"/>
        <v>Maureen Keith</v>
      </c>
      <c r="D530" t="s">
        <v>73</v>
      </c>
      <c r="E530">
        <v>40</v>
      </c>
      <c r="F530" t="s">
        <v>63</v>
      </c>
      <c r="G530" t="s">
        <v>21</v>
      </c>
      <c r="H530" t="s">
        <v>85</v>
      </c>
      <c r="I530">
        <v>12</v>
      </c>
      <c r="J530">
        <v>30</v>
      </c>
      <c r="K530">
        <v>3.5</v>
      </c>
      <c r="M530" s="1">
        <v>0.98</v>
      </c>
    </row>
    <row r="531" spans="1:13" x14ac:dyDescent="0.3">
      <c r="A531" t="s">
        <v>1133</v>
      </c>
      <c r="B531" t="s">
        <v>1134</v>
      </c>
      <c r="C531" t="str">
        <f t="shared" si="13"/>
        <v>Shawn Hogan</v>
      </c>
      <c r="D531" t="s">
        <v>93</v>
      </c>
      <c r="E531">
        <v>37</v>
      </c>
      <c r="F531" t="s">
        <v>27</v>
      </c>
      <c r="G531" t="s">
        <v>28</v>
      </c>
      <c r="H531" t="s">
        <v>110</v>
      </c>
      <c r="K531">
        <v>1.7</v>
      </c>
      <c r="L531" t="s">
        <v>64</v>
      </c>
      <c r="M531" s="1">
        <v>0.63</v>
      </c>
    </row>
    <row r="532" spans="1:13" x14ac:dyDescent="0.3">
      <c r="A532" t="s">
        <v>1135</v>
      </c>
      <c r="B532" t="s">
        <v>1136</v>
      </c>
      <c r="C532" t="str">
        <f t="shared" si="13"/>
        <v>William Davis</v>
      </c>
      <c r="D532" t="s">
        <v>88</v>
      </c>
      <c r="E532">
        <v>28</v>
      </c>
      <c r="F532" t="s">
        <v>123</v>
      </c>
      <c r="G532" t="s">
        <v>21</v>
      </c>
      <c r="H532" t="s">
        <v>16</v>
      </c>
      <c r="I532">
        <v>5</v>
      </c>
      <c r="J532" s="2">
        <v>50</v>
      </c>
      <c r="K532">
        <v>0</v>
      </c>
      <c r="L532" t="s">
        <v>64</v>
      </c>
      <c r="M532">
        <v>96</v>
      </c>
    </row>
    <row r="533" spans="1:13" x14ac:dyDescent="0.3">
      <c r="A533" t="s">
        <v>1137</v>
      </c>
      <c r="B533" t="s">
        <v>1138</v>
      </c>
      <c r="C533" t="str">
        <f t="shared" si="13"/>
        <v>Stacy Bailey</v>
      </c>
      <c r="D533" t="s">
        <v>37</v>
      </c>
      <c r="E533">
        <v>48</v>
      </c>
      <c r="F533" t="s">
        <v>89</v>
      </c>
      <c r="G533" t="s">
        <v>90</v>
      </c>
      <c r="H533" t="s">
        <v>22</v>
      </c>
      <c r="I533">
        <v>28</v>
      </c>
      <c r="J533" t="s">
        <v>307</v>
      </c>
      <c r="K533">
        <v>0</v>
      </c>
      <c r="L533">
        <v>0</v>
      </c>
      <c r="M533" s="1">
        <v>0.88</v>
      </c>
    </row>
    <row r="534" spans="1:13" x14ac:dyDescent="0.3">
      <c r="A534" t="s">
        <v>1139</v>
      </c>
      <c r="B534" t="s">
        <v>1140</v>
      </c>
      <c r="C534" t="str">
        <f t="shared" si="13"/>
        <v>Thomas Dixon</v>
      </c>
      <c r="D534" t="s">
        <v>58</v>
      </c>
      <c r="E534">
        <v>22</v>
      </c>
      <c r="F534" t="s">
        <v>89</v>
      </c>
      <c r="G534" t="s">
        <v>90</v>
      </c>
      <c r="H534" t="s">
        <v>42</v>
      </c>
      <c r="I534">
        <v>0</v>
      </c>
      <c r="K534">
        <v>4.5999999999999996</v>
      </c>
      <c r="L534" t="b">
        <v>0</v>
      </c>
    </row>
    <row r="535" spans="1:13" x14ac:dyDescent="0.3">
      <c r="A535" t="s">
        <v>1141</v>
      </c>
      <c r="B535" t="s">
        <v>1142</v>
      </c>
      <c r="C535" t="str">
        <f t="shared" si="13"/>
        <v>Maria Hall</v>
      </c>
      <c r="D535" t="s">
        <v>37</v>
      </c>
      <c r="E535">
        <v>41</v>
      </c>
      <c r="F535" t="s">
        <v>27</v>
      </c>
      <c r="G535" t="s">
        <v>28</v>
      </c>
      <c r="H535" t="s">
        <v>34</v>
      </c>
      <c r="I535">
        <v>14</v>
      </c>
      <c r="J535">
        <v>40</v>
      </c>
      <c r="K535">
        <v>1.1000000000000001</v>
      </c>
      <c r="L535" t="b">
        <v>1</v>
      </c>
      <c r="M535" s="1">
        <v>0.73</v>
      </c>
    </row>
    <row r="536" spans="1:13" x14ac:dyDescent="0.3">
      <c r="A536" t="s">
        <v>1143</v>
      </c>
      <c r="B536" t="s">
        <v>1144</v>
      </c>
      <c r="C536" t="str">
        <f t="shared" si="13"/>
        <v>Tony Lee</v>
      </c>
      <c r="D536" t="s">
        <v>58</v>
      </c>
      <c r="E536">
        <v>38</v>
      </c>
      <c r="F536" t="s">
        <v>55</v>
      </c>
      <c r="G536" t="s">
        <v>21</v>
      </c>
      <c r="H536" t="s">
        <v>29</v>
      </c>
      <c r="I536">
        <v>15</v>
      </c>
      <c r="K536">
        <v>4.2</v>
      </c>
      <c r="L536">
        <v>0</v>
      </c>
      <c r="M536" s="1">
        <v>0.88</v>
      </c>
    </row>
    <row r="537" spans="1:13" x14ac:dyDescent="0.3">
      <c r="A537" t="s">
        <v>1145</v>
      </c>
      <c r="B537" t="s">
        <v>1146</v>
      </c>
      <c r="C537" t="str">
        <f t="shared" si="13"/>
        <v>Catherine Mccoy MD</v>
      </c>
      <c r="D537" t="s">
        <v>19</v>
      </c>
      <c r="E537">
        <v>31</v>
      </c>
      <c r="F537" t="s">
        <v>148</v>
      </c>
      <c r="G537" t="s">
        <v>149</v>
      </c>
      <c r="H537" t="s">
        <v>69</v>
      </c>
      <c r="I537">
        <v>9</v>
      </c>
      <c r="K537">
        <v>0</v>
      </c>
      <c r="L537" t="b">
        <v>0</v>
      </c>
      <c r="M537" s="1">
        <v>0.91</v>
      </c>
    </row>
    <row r="538" spans="1:13" x14ac:dyDescent="0.3">
      <c r="A538" t="s">
        <v>1147</v>
      </c>
      <c r="B538" t="s">
        <v>1148</v>
      </c>
      <c r="C538" t="str">
        <f t="shared" si="13"/>
        <v>Maria Benitez</v>
      </c>
      <c r="D538" t="s">
        <v>33</v>
      </c>
      <c r="E538">
        <v>30</v>
      </c>
      <c r="F538" t="s">
        <v>169</v>
      </c>
      <c r="G538" t="s">
        <v>170</v>
      </c>
      <c r="H538" t="s">
        <v>22</v>
      </c>
      <c r="I538">
        <v>9</v>
      </c>
      <c r="J538" s="2">
        <v>30</v>
      </c>
      <c r="K538">
        <v>3.9</v>
      </c>
      <c r="L538" t="s">
        <v>154</v>
      </c>
      <c r="M538" s="1">
        <v>0.65</v>
      </c>
    </row>
    <row r="539" spans="1:13" x14ac:dyDescent="0.3">
      <c r="A539" t="s">
        <v>1149</v>
      </c>
      <c r="B539" t="s">
        <v>1150</v>
      </c>
      <c r="C539" t="str">
        <f t="shared" si="13"/>
        <v>Joshua Chambers</v>
      </c>
      <c r="D539" t="s">
        <v>58</v>
      </c>
      <c r="E539">
        <v>51</v>
      </c>
      <c r="F539" t="s">
        <v>173</v>
      </c>
      <c r="G539" t="s">
        <v>68</v>
      </c>
      <c r="H539" t="s">
        <v>69</v>
      </c>
      <c r="I539">
        <v>22</v>
      </c>
      <c r="J539">
        <v>20</v>
      </c>
      <c r="K539">
        <v>3.4</v>
      </c>
      <c r="L539" t="b">
        <v>1</v>
      </c>
      <c r="M539">
        <v>90</v>
      </c>
    </row>
    <row r="540" spans="1:13" x14ac:dyDescent="0.3">
      <c r="A540" t="s">
        <v>1151</v>
      </c>
      <c r="B540" t="s">
        <v>1152</v>
      </c>
      <c r="C540" t="str">
        <f t="shared" si="13"/>
        <v>Janice Daniels</v>
      </c>
      <c r="D540" t="s">
        <v>13</v>
      </c>
      <c r="E540">
        <v>21</v>
      </c>
      <c r="F540" t="s">
        <v>27</v>
      </c>
      <c r="G540" t="s">
        <v>28</v>
      </c>
      <c r="H540" t="s">
        <v>85</v>
      </c>
      <c r="I540">
        <v>0</v>
      </c>
      <c r="J540" s="2">
        <v>20</v>
      </c>
      <c r="K540">
        <v>2.6</v>
      </c>
      <c r="L540" t="s">
        <v>30</v>
      </c>
      <c r="M540" s="1">
        <v>0.72</v>
      </c>
    </row>
    <row r="541" spans="1:13" x14ac:dyDescent="0.3">
      <c r="A541" t="s">
        <v>1153</v>
      </c>
      <c r="B541" t="s">
        <v>1154</v>
      </c>
      <c r="C541" t="str">
        <f t="shared" si="13"/>
        <v>Carla Wood</v>
      </c>
      <c r="D541" t="s">
        <v>19</v>
      </c>
      <c r="E541">
        <v>20</v>
      </c>
      <c r="F541" t="s">
        <v>14</v>
      </c>
      <c r="G541" t="s">
        <v>15</v>
      </c>
      <c r="H541" t="s">
        <v>85</v>
      </c>
      <c r="I541">
        <v>1</v>
      </c>
      <c r="J541" t="s">
        <v>52</v>
      </c>
      <c r="K541">
        <v>2.2999999999999998</v>
      </c>
      <c r="L541">
        <v>1</v>
      </c>
      <c r="M541" s="1">
        <v>0.72</v>
      </c>
    </row>
    <row r="542" spans="1:13" x14ac:dyDescent="0.3">
      <c r="A542" t="s">
        <v>1155</v>
      </c>
      <c r="B542" t="s">
        <v>1156</v>
      </c>
      <c r="C542" t="str">
        <f t="shared" si="13"/>
        <v>Kenneth Vasquez</v>
      </c>
      <c r="D542" t="s">
        <v>93</v>
      </c>
      <c r="E542">
        <v>30</v>
      </c>
      <c r="F542" t="s">
        <v>81</v>
      </c>
      <c r="G542" t="s">
        <v>82</v>
      </c>
      <c r="H542" t="s">
        <v>16</v>
      </c>
      <c r="I542">
        <v>5</v>
      </c>
      <c r="J542" s="2">
        <v>30</v>
      </c>
      <c r="K542">
        <v>4.8</v>
      </c>
      <c r="L542" t="s">
        <v>30</v>
      </c>
    </row>
    <row r="543" spans="1:13" x14ac:dyDescent="0.3">
      <c r="A543" t="s">
        <v>1157</v>
      </c>
      <c r="B543" t="s">
        <v>1158</v>
      </c>
      <c r="C543" t="str">
        <f t="shared" si="13"/>
        <v>Kevin Smith</v>
      </c>
      <c r="D543" t="s">
        <v>58</v>
      </c>
      <c r="E543">
        <v>41</v>
      </c>
      <c r="F543" t="s">
        <v>169</v>
      </c>
      <c r="G543" t="s">
        <v>170</v>
      </c>
      <c r="H543" t="s">
        <v>48</v>
      </c>
      <c r="I543">
        <v>0</v>
      </c>
      <c r="J543" t="s">
        <v>52</v>
      </c>
      <c r="K543">
        <v>4.5</v>
      </c>
      <c r="L543" t="s">
        <v>30</v>
      </c>
      <c r="M543" s="1">
        <v>0.68</v>
      </c>
    </row>
    <row r="544" spans="1:13" x14ac:dyDescent="0.3">
      <c r="A544" t="s">
        <v>1159</v>
      </c>
      <c r="B544" t="s">
        <v>1160</v>
      </c>
      <c r="C544" t="str">
        <f t="shared" si="13"/>
        <v>Thomas Kim</v>
      </c>
      <c r="D544" t="s">
        <v>93</v>
      </c>
      <c r="E544">
        <v>22</v>
      </c>
      <c r="F544" t="s">
        <v>184</v>
      </c>
      <c r="G544" t="s">
        <v>68</v>
      </c>
      <c r="H544" t="s">
        <v>16</v>
      </c>
      <c r="I544">
        <v>0</v>
      </c>
      <c r="J544" s="2">
        <v>30</v>
      </c>
      <c r="K544">
        <v>0</v>
      </c>
      <c r="L544">
        <v>0</v>
      </c>
      <c r="M544" s="1">
        <v>0.87</v>
      </c>
    </row>
    <row r="545" spans="1:13" x14ac:dyDescent="0.3">
      <c r="A545" t="s">
        <v>1161</v>
      </c>
      <c r="B545" t="s">
        <v>1162</v>
      </c>
      <c r="C545" t="str">
        <f t="shared" si="13"/>
        <v>Sean Park</v>
      </c>
      <c r="D545" t="s">
        <v>58</v>
      </c>
      <c r="E545">
        <v>45</v>
      </c>
      <c r="F545" t="s">
        <v>173</v>
      </c>
      <c r="G545" t="s">
        <v>68</v>
      </c>
      <c r="H545" t="s">
        <v>74</v>
      </c>
      <c r="I545">
        <v>19</v>
      </c>
      <c r="J545">
        <v>75</v>
      </c>
      <c r="K545">
        <v>0</v>
      </c>
      <c r="L545" t="s">
        <v>154</v>
      </c>
      <c r="M545" s="1">
        <v>0.72</v>
      </c>
    </row>
    <row r="546" spans="1:13" x14ac:dyDescent="0.3">
      <c r="A546" t="s">
        <v>1163</v>
      </c>
      <c r="B546" t="s">
        <v>1164</v>
      </c>
      <c r="C546" t="str">
        <f t="shared" si="13"/>
        <v>Judith Poole</v>
      </c>
      <c r="D546" t="s">
        <v>73</v>
      </c>
      <c r="E546">
        <v>22</v>
      </c>
      <c r="F546" t="s">
        <v>20</v>
      </c>
      <c r="G546" t="s">
        <v>21</v>
      </c>
      <c r="H546" t="s">
        <v>48</v>
      </c>
      <c r="I546">
        <v>2</v>
      </c>
      <c r="J546">
        <v>40</v>
      </c>
      <c r="K546">
        <v>1.1000000000000001</v>
      </c>
      <c r="L546" t="s">
        <v>154</v>
      </c>
      <c r="M546" s="1">
        <v>0.76</v>
      </c>
    </row>
    <row r="547" spans="1:13" x14ac:dyDescent="0.3">
      <c r="A547" t="s">
        <v>1165</v>
      </c>
      <c r="B547" t="s">
        <v>1166</v>
      </c>
      <c r="C547" t="str">
        <f t="shared" si="13"/>
        <v>Melanie Baird</v>
      </c>
      <c r="D547" t="s">
        <v>13</v>
      </c>
      <c r="E547">
        <v>20</v>
      </c>
      <c r="F547" t="s">
        <v>59</v>
      </c>
      <c r="G547" t="s">
        <v>60</v>
      </c>
      <c r="H547" t="s">
        <v>22</v>
      </c>
      <c r="I547">
        <v>0</v>
      </c>
      <c r="J547">
        <v>100</v>
      </c>
      <c r="K547">
        <v>0</v>
      </c>
      <c r="L547">
        <v>0</v>
      </c>
      <c r="M547">
        <v>63</v>
      </c>
    </row>
    <row r="548" spans="1:13" x14ac:dyDescent="0.3">
      <c r="A548" t="s">
        <v>1167</v>
      </c>
      <c r="B548" t="s">
        <v>1168</v>
      </c>
      <c r="C548" t="str">
        <f t="shared" si="13"/>
        <v>Erika Mitchell</v>
      </c>
      <c r="D548" t="s">
        <v>19</v>
      </c>
      <c r="E548">
        <v>20</v>
      </c>
      <c r="F548" t="s">
        <v>123</v>
      </c>
      <c r="G548" t="s">
        <v>21</v>
      </c>
      <c r="H548" t="s">
        <v>48</v>
      </c>
      <c r="I548">
        <v>2</v>
      </c>
      <c r="J548">
        <v>40</v>
      </c>
      <c r="L548">
        <v>1</v>
      </c>
      <c r="M548" s="1">
        <v>0.91</v>
      </c>
    </row>
    <row r="549" spans="1:13" x14ac:dyDescent="0.3">
      <c r="A549" t="s">
        <v>1169</v>
      </c>
      <c r="B549" t="s">
        <v>1170</v>
      </c>
      <c r="C549" t="str">
        <f t="shared" si="13"/>
        <v>Ricky Martinez</v>
      </c>
      <c r="D549" t="s">
        <v>88</v>
      </c>
      <c r="E549">
        <v>21</v>
      </c>
      <c r="F549" t="s">
        <v>63</v>
      </c>
      <c r="G549" t="s">
        <v>21</v>
      </c>
      <c r="H549" t="s">
        <v>42</v>
      </c>
      <c r="I549">
        <v>0</v>
      </c>
      <c r="J549">
        <v>100</v>
      </c>
      <c r="L549">
        <v>0</v>
      </c>
      <c r="M549" s="1">
        <v>0.73</v>
      </c>
    </row>
    <row r="550" spans="1:13" x14ac:dyDescent="0.3">
      <c r="A550" t="s">
        <v>1171</v>
      </c>
      <c r="B550" t="s">
        <v>1172</v>
      </c>
      <c r="C550" t="str">
        <f t="shared" si="13"/>
        <v>John Christian</v>
      </c>
      <c r="D550" t="s">
        <v>93</v>
      </c>
      <c r="E550">
        <v>22</v>
      </c>
      <c r="F550" t="s">
        <v>40</v>
      </c>
      <c r="G550" t="s">
        <v>41</v>
      </c>
      <c r="H550" t="s">
        <v>74</v>
      </c>
      <c r="I550">
        <v>1</v>
      </c>
      <c r="J550">
        <v>40</v>
      </c>
      <c r="K550">
        <v>0</v>
      </c>
      <c r="L550">
        <v>0</v>
      </c>
      <c r="M550" s="1">
        <v>0.63</v>
      </c>
    </row>
    <row r="551" spans="1:13" x14ac:dyDescent="0.3">
      <c r="A551" t="s">
        <v>1173</v>
      </c>
      <c r="B551" t="s">
        <v>1174</v>
      </c>
      <c r="C551" t="str">
        <f t="shared" si="13"/>
        <v>Nancy Smith</v>
      </c>
      <c r="D551" t="s">
        <v>33</v>
      </c>
      <c r="E551">
        <v>28</v>
      </c>
      <c r="F551" t="s">
        <v>63</v>
      </c>
      <c r="G551" t="s">
        <v>21</v>
      </c>
      <c r="H551" t="s">
        <v>85</v>
      </c>
      <c r="I551">
        <v>3</v>
      </c>
      <c r="J551" t="s">
        <v>307</v>
      </c>
      <c r="L551">
        <v>1</v>
      </c>
      <c r="M551" s="1">
        <v>0.79</v>
      </c>
    </row>
    <row r="552" spans="1:13" x14ac:dyDescent="0.3">
      <c r="A552" t="s">
        <v>1175</v>
      </c>
      <c r="B552" t="s">
        <v>1176</v>
      </c>
      <c r="C552" t="str">
        <f t="shared" si="13"/>
        <v>Cassandra Stephens</v>
      </c>
      <c r="D552" t="s">
        <v>33</v>
      </c>
      <c r="E552">
        <v>59</v>
      </c>
      <c r="F552" t="s">
        <v>67</v>
      </c>
      <c r="G552" t="s">
        <v>68</v>
      </c>
      <c r="H552" t="s">
        <v>42</v>
      </c>
      <c r="J552">
        <v>20</v>
      </c>
      <c r="K552">
        <v>4.0999999999999996</v>
      </c>
      <c r="L552">
        <v>0</v>
      </c>
      <c r="M552">
        <v>75</v>
      </c>
    </row>
    <row r="553" spans="1:13" x14ac:dyDescent="0.3">
      <c r="A553" t="s">
        <v>1177</v>
      </c>
      <c r="B553" t="s">
        <v>1178</v>
      </c>
      <c r="C553" t="str">
        <f t="shared" si="13"/>
        <v>Miss Janet Donovan MD</v>
      </c>
      <c r="D553" t="s">
        <v>37</v>
      </c>
      <c r="E553">
        <v>28</v>
      </c>
      <c r="F553" t="s">
        <v>130</v>
      </c>
      <c r="G553" t="s">
        <v>131</v>
      </c>
      <c r="H553" t="s">
        <v>34</v>
      </c>
      <c r="I553">
        <v>1</v>
      </c>
      <c r="K553">
        <v>0</v>
      </c>
      <c r="L553">
        <v>0</v>
      </c>
      <c r="M553" s="1">
        <v>0.7</v>
      </c>
    </row>
    <row r="554" spans="1:13" x14ac:dyDescent="0.3">
      <c r="A554" t="s">
        <v>1179</v>
      </c>
      <c r="B554" t="s">
        <v>1180</v>
      </c>
      <c r="C554" t="str">
        <f t="shared" si="13"/>
        <v>Kristina Williams</v>
      </c>
      <c r="D554" t="s">
        <v>33</v>
      </c>
      <c r="E554">
        <v>40</v>
      </c>
      <c r="F554" t="s">
        <v>20</v>
      </c>
      <c r="G554" t="s">
        <v>21</v>
      </c>
      <c r="H554" t="s">
        <v>85</v>
      </c>
      <c r="I554">
        <v>0</v>
      </c>
      <c r="J554" s="2">
        <v>100</v>
      </c>
      <c r="K554">
        <v>1.2</v>
      </c>
      <c r="M554" s="1">
        <v>0.87</v>
      </c>
    </row>
    <row r="555" spans="1:13" x14ac:dyDescent="0.3">
      <c r="A555" t="s">
        <v>1181</v>
      </c>
      <c r="B555" t="s">
        <v>1182</v>
      </c>
      <c r="C555" t="str">
        <f t="shared" si="13"/>
        <v>Wayne Barnes</v>
      </c>
      <c r="D555" t="s">
        <v>88</v>
      </c>
      <c r="E555">
        <v>57</v>
      </c>
      <c r="F555" t="s">
        <v>14</v>
      </c>
      <c r="G555" t="s">
        <v>15</v>
      </c>
      <c r="H555" t="s">
        <v>16</v>
      </c>
      <c r="I555">
        <v>7</v>
      </c>
      <c r="J555">
        <v>30</v>
      </c>
      <c r="K555">
        <v>1.6</v>
      </c>
      <c r="L555" t="s">
        <v>154</v>
      </c>
    </row>
    <row r="556" spans="1:13" x14ac:dyDescent="0.3">
      <c r="A556" t="s">
        <v>1183</v>
      </c>
      <c r="B556" t="s">
        <v>1184</v>
      </c>
      <c r="C556" t="str">
        <f t="shared" si="13"/>
        <v>James Hinton</v>
      </c>
      <c r="D556" t="s">
        <v>58</v>
      </c>
      <c r="E556">
        <v>47</v>
      </c>
      <c r="F556" t="s">
        <v>59</v>
      </c>
      <c r="G556" t="s">
        <v>60</v>
      </c>
      <c r="H556" t="s">
        <v>85</v>
      </c>
      <c r="I556">
        <v>1</v>
      </c>
      <c r="J556">
        <v>50</v>
      </c>
      <c r="K556">
        <v>3.9</v>
      </c>
      <c r="L556" t="s">
        <v>70</v>
      </c>
      <c r="M556" s="1">
        <v>0.88</v>
      </c>
    </row>
    <row r="557" spans="1:13" x14ac:dyDescent="0.3">
      <c r="A557" t="s">
        <v>1185</v>
      </c>
      <c r="B557" t="s">
        <v>1186</v>
      </c>
      <c r="C557" t="str">
        <f t="shared" si="13"/>
        <v>David Spence</v>
      </c>
      <c r="D557" t="s">
        <v>26</v>
      </c>
      <c r="E557">
        <v>48</v>
      </c>
      <c r="F557" t="s">
        <v>108</v>
      </c>
      <c r="G557" t="s">
        <v>109</v>
      </c>
      <c r="H557" t="s">
        <v>74</v>
      </c>
      <c r="I557">
        <v>21</v>
      </c>
      <c r="J557">
        <v>40</v>
      </c>
      <c r="K557">
        <v>0</v>
      </c>
      <c r="L557">
        <v>1</v>
      </c>
    </row>
    <row r="558" spans="1:13" x14ac:dyDescent="0.3">
      <c r="A558" t="s">
        <v>1187</v>
      </c>
      <c r="B558" t="s">
        <v>1188</v>
      </c>
      <c r="C558" t="str">
        <f t="shared" si="13"/>
        <v>Tyler Cooper</v>
      </c>
      <c r="D558" t="s">
        <v>93</v>
      </c>
      <c r="E558">
        <v>28</v>
      </c>
      <c r="F558" t="s">
        <v>55</v>
      </c>
      <c r="G558" t="s">
        <v>21</v>
      </c>
      <c r="H558" t="s">
        <v>69</v>
      </c>
      <c r="I558">
        <v>1</v>
      </c>
      <c r="J558" t="s">
        <v>307</v>
      </c>
      <c r="K558">
        <v>4.7</v>
      </c>
      <c r="L558" t="b">
        <v>0</v>
      </c>
      <c r="M558" s="1">
        <v>0.93</v>
      </c>
    </row>
    <row r="559" spans="1:13" x14ac:dyDescent="0.3">
      <c r="A559" t="s">
        <v>1189</v>
      </c>
      <c r="B559" t="s">
        <v>1190</v>
      </c>
      <c r="C559" t="str">
        <f t="shared" si="13"/>
        <v>Sean Martinez</v>
      </c>
      <c r="D559" t="s">
        <v>88</v>
      </c>
      <c r="E559">
        <v>41</v>
      </c>
      <c r="F559" t="s">
        <v>59</v>
      </c>
      <c r="G559" t="s">
        <v>60</v>
      </c>
      <c r="H559" t="s">
        <v>29</v>
      </c>
      <c r="I559">
        <v>15</v>
      </c>
      <c r="K559">
        <v>3.8</v>
      </c>
      <c r="L559">
        <v>1</v>
      </c>
    </row>
    <row r="560" spans="1:13" x14ac:dyDescent="0.3">
      <c r="A560" t="s">
        <v>1191</v>
      </c>
      <c r="B560" t="s">
        <v>1192</v>
      </c>
      <c r="C560" t="str">
        <f t="shared" si="13"/>
        <v>Janet Barron</v>
      </c>
      <c r="D560" t="s">
        <v>13</v>
      </c>
      <c r="E560">
        <v>57</v>
      </c>
      <c r="F560" t="s">
        <v>148</v>
      </c>
      <c r="G560" t="s">
        <v>149</v>
      </c>
      <c r="H560" t="s">
        <v>74</v>
      </c>
      <c r="I560">
        <v>33</v>
      </c>
      <c r="J560">
        <v>100</v>
      </c>
      <c r="K560">
        <v>3.5</v>
      </c>
      <c r="L560" t="s">
        <v>154</v>
      </c>
      <c r="M560" s="1">
        <v>0.74</v>
      </c>
    </row>
    <row r="561" spans="1:13" x14ac:dyDescent="0.3">
      <c r="A561" t="s">
        <v>1193</v>
      </c>
      <c r="B561" t="s">
        <v>1194</v>
      </c>
      <c r="C561" t="str">
        <f t="shared" si="13"/>
        <v>Rodney Wilson</v>
      </c>
      <c r="D561" t="s">
        <v>26</v>
      </c>
      <c r="E561">
        <v>60</v>
      </c>
      <c r="F561" t="s">
        <v>67</v>
      </c>
      <c r="G561" t="s">
        <v>68</v>
      </c>
      <c r="H561" t="s">
        <v>29</v>
      </c>
      <c r="I561">
        <v>39</v>
      </c>
      <c r="J561" t="s">
        <v>49</v>
      </c>
      <c r="K561">
        <v>4</v>
      </c>
      <c r="M561" s="1">
        <v>0.7</v>
      </c>
    </row>
    <row r="562" spans="1:13" x14ac:dyDescent="0.3">
      <c r="A562" t="s">
        <v>1195</v>
      </c>
      <c r="B562" t="s">
        <v>1196</v>
      </c>
      <c r="C562" t="str">
        <f t="shared" si="13"/>
        <v>Kimberly Fitzgerald</v>
      </c>
      <c r="D562" t="s">
        <v>37</v>
      </c>
      <c r="E562">
        <v>48</v>
      </c>
      <c r="F562" t="s">
        <v>134</v>
      </c>
      <c r="G562" t="s">
        <v>135</v>
      </c>
      <c r="H562" t="s">
        <v>29</v>
      </c>
      <c r="I562">
        <v>21</v>
      </c>
      <c r="J562">
        <v>30</v>
      </c>
      <c r="K562">
        <v>1.6</v>
      </c>
      <c r="L562" t="s">
        <v>70</v>
      </c>
      <c r="M562" s="1">
        <v>0.67</v>
      </c>
    </row>
    <row r="563" spans="1:13" x14ac:dyDescent="0.3">
      <c r="A563" t="s">
        <v>1197</v>
      </c>
      <c r="B563" t="s">
        <v>1198</v>
      </c>
      <c r="C563" t="str">
        <f t="shared" si="13"/>
        <v>Nicole Davis</v>
      </c>
      <c r="D563" t="s">
        <v>73</v>
      </c>
      <c r="E563">
        <v>24</v>
      </c>
      <c r="F563" t="s">
        <v>130</v>
      </c>
      <c r="G563" t="s">
        <v>131</v>
      </c>
      <c r="H563" t="s">
        <v>74</v>
      </c>
      <c r="I563">
        <v>5</v>
      </c>
      <c r="J563">
        <v>40</v>
      </c>
      <c r="K563">
        <v>3</v>
      </c>
      <c r="L563" t="s">
        <v>154</v>
      </c>
      <c r="M563" s="1">
        <v>0.86</v>
      </c>
    </row>
    <row r="564" spans="1:13" x14ac:dyDescent="0.3">
      <c r="A564" t="s">
        <v>1199</v>
      </c>
      <c r="B564" t="s">
        <v>1200</v>
      </c>
      <c r="C564" t="str">
        <f t="shared" si="13"/>
        <v>Elizabeth Hayes</v>
      </c>
      <c r="D564" t="s">
        <v>19</v>
      </c>
      <c r="E564">
        <v>33</v>
      </c>
      <c r="F564" t="s">
        <v>173</v>
      </c>
      <c r="G564" t="s">
        <v>68</v>
      </c>
      <c r="H564" t="s">
        <v>85</v>
      </c>
      <c r="I564">
        <v>11</v>
      </c>
      <c r="J564">
        <v>50</v>
      </c>
      <c r="K564">
        <v>5</v>
      </c>
      <c r="L564" t="s">
        <v>64</v>
      </c>
      <c r="M564" s="1">
        <v>0.69</v>
      </c>
    </row>
    <row r="565" spans="1:13" x14ac:dyDescent="0.3">
      <c r="A565" t="s">
        <v>1201</v>
      </c>
      <c r="B565" t="s">
        <v>1202</v>
      </c>
      <c r="C565" t="str">
        <f t="shared" si="13"/>
        <v>Kathy Faulkner</v>
      </c>
      <c r="D565" t="s">
        <v>19</v>
      </c>
      <c r="E565">
        <v>20</v>
      </c>
      <c r="F565" t="s">
        <v>59</v>
      </c>
      <c r="G565" t="s">
        <v>60</v>
      </c>
      <c r="H565" t="s">
        <v>29</v>
      </c>
      <c r="I565">
        <v>0</v>
      </c>
      <c r="J565">
        <v>30</v>
      </c>
      <c r="K565">
        <v>4.8</v>
      </c>
      <c r="L565" t="s">
        <v>64</v>
      </c>
      <c r="M565" s="1">
        <v>0.68</v>
      </c>
    </row>
    <row r="566" spans="1:13" x14ac:dyDescent="0.3">
      <c r="A566" t="s">
        <v>1203</v>
      </c>
      <c r="B566" t="s">
        <v>1204</v>
      </c>
      <c r="C566" t="str">
        <f t="shared" si="13"/>
        <v>John Gonzales</v>
      </c>
      <c r="D566" t="s">
        <v>58</v>
      </c>
      <c r="E566">
        <v>59</v>
      </c>
      <c r="F566" t="s">
        <v>63</v>
      </c>
      <c r="G566" t="s">
        <v>21</v>
      </c>
      <c r="H566" t="s">
        <v>85</v>
      </c>
      <c r="I566">
        <v>15</v>
      </c>
      <c r="J566" s="2">
        <v>50</v>
      </c>
      <c r="L566" t="s">
        <v>154</v>
      </c>
    </row>
    <row r="567" spans="1:13" x14ac:dyDescent="0.3">
      <c r="A567" t="s">
        <v>1205</v>
      </c>
      <c r="B567" t="s">
        <v>1206</v>
      </c>
      <c r="C567" t="str">
        <f t="shared" si="13"/>
        <v>Shannon Luna</v>
      </c>
      <c r="D567" t="s">
        <v>37</v>
      </c>
      <c r="E567">
        <v>42</v>
      </c>
      <c r="F567" t="s">
        <v>169</v>
      </c>
      <c r="G567" t="s">
        <v>170</v>
      </c>
      <c r="H567" t="s">
        <v>85</v>
      </c>
      <c r="I567">
        <v>22</v>
      </c>
      <c r="K567">
        <v>2.9</v>
      </c>
      <c r="L567">
        <v>0</v>
      </c>
      <c r="M567" s="1">
        <v>0.61</v>
      </c>
    </row>
    <row r="568" spans="1:13" x14ac:dyDescent="0.3">
      <c r="A568" t="s">
        <v>1207</v>
      </c>
      <c r="B568" t="s">
        <v>1208</v>
      </c>
      <c r="C568" t="str">
        <f t="shared" si="13"/>
        <v>Stephanie Burton</v>
      </c>
      <c r="D568" t="s">
        <v>19</v>
      </c>
      <c r="E568">
        <v>22</v>
      </c>
      <c r="F568" t="s">
        <v>59</v>
      </c>
      <c r="G568" t="s">
        <v>60</v>
      </c>
      <c r="H568" t="s">
        <v>69</v>
      </c>
      <c r="I568">
        <v>3</v>
      </c>
      <c r="K568">
        <v>3</v>
      </c>
      <c r="L568" t="b">
        <v>1</v>
      </c>
      <c r="M568" s="1">
        <v>0.96</v>
      </c>
    </row>
    <row r="569" spans="1:13" x14ac:dyDescent="0.3">
      <c r="A569" t="s">
        <v>1209</v>
      </c>
      <c r="B569" t="s">
        <v>1210</v>
      </c>
      <c r="C569" t="str">
        <f t="shared" si="13"/>
        <v>Kevin Gonzales</v>
      </c>
      <c r="D569" t="s">
        <v>88</v>
      </c>
      <c r="E569">
        <v>41</v>
      </c>
      <c r="F569" t="s">
        <v>123</v>
      </c>
      <c r="G569" t="s">
        <v>21</v>
      </c>
      <c r="H569" t="s">
        <v>74</v>
      </c>
      <c r="I569">
        <v>11</v>
      </c>
      <c r="J569">
        <v>50</v>
      </c>
      <c r="K569">
        <v>3.5</v>
      </c>
      <c r="L569">
        <v>1</v>
      </c>
      <c r="M569" s="1">
        <v>0.68</v>
      </c>
    </row>
    <row r="570" spans="1:13" x14ac:dyDescent="0.3">
      <c r="A570" t="s">
        <v>1211</v>
      </c>
      <c r="B570" t="s">
        <v>1212</v>
      </c>
      <c r="C570" t="str">
        <f t="shared" si="13"/>
        <v>Dawn Hardy</v>
      </c>
      <c r="D570" t="s">
        <v>73</v>
      </c>
      <c r="E570">
        <v>25</v>
      </c>
      <c r="F570" t="s">
        <v>67</v>
      </c>
      <c r="G570" t="s">
        <v>68</v>
      </c>
      <c r="H570" t="s">
        <v>34</v>
      </c>
      <c r="I570">
        <v>5</v>
      </c>
      <c r="J570">
        <v>40</v>
      </c>
      <c r="L570" t="b">
        <v>1</v>
      </c>
      <c r="M570" s="1">
        <v>0.75</v>
      </c>
    </row>
    <row r="571" spans="1:13" x14ac:dyDescent="0.3">
      <c r="A571" t="s">
        <v>1213</v>
      </c>
      <c r="B571" t="s">
        <v>1214</v>
      </c>
      <c r="C571" t="str">
        <f t="shared" si="13"/>
        <v>Margaret Perkins</v>
      </c>
      <c r="D571" t="s">
        <v>13</v>
      </c>
      <c r="E571">
        <v>38</v>
      </c>
      <c r="F571" t="s">
        <v>123</v>
      </c>
      <c r="G571" t="s">
        <v>21</v>
      </c>
      <c r="H571" t="s">
        <v>69</v>
      </c>
      <c r="I571">
        <v>3</v>
      </c>
      <c r="J571">
        <v>40</v>
      </c>
      <c r="K571">
        <v>4.7</v>
      </c>
      <c r="L571">
        <v>0</v>
      </c>
      <c r="M571" s="1">
        <v>0.69</v>
      </c>
    </row>
    <row r="572" spans="1:13" x14ac:dyDescent="0.3">
      <c r="A572" t="s">
        <v>1215</v>
      </c>
      <c r="B572" t="s">
        <v>1216</v>
      </c>
      <c r="C572" t="str">
        <f t="shared" si="13"/>
        <v>Amanda Vargas</v>
      </c>
      <c r="D572" t="s">
        <v>37</v>
      </c>
      <c r="E572">
        <v>43</v>
      </c>
      <c r="F572" t="s">
        <v>55</v>
      </c>
      <c r="G572" t="s">
        <v>21</v>
      </c>
      <c r="H572" t="s">
        <v>85</v>
      </c>
      <c r="I572">
        <v>1</v>
      </c>
      <c r="K572">
        <v>2.9</v>
      </c>
      <c r="L572" t="s">
        <v>154</v>
      </c>
      <c r="M572" s="1">
        <v>0.78</v>
      </c>
    </row>
    <row r="573" spans="1:13" x14ac:dyDescent="0.3">
      <c r="A573" t="s">
        <v>1217</v>
      </c>
      <c r="B573" t="s">
        <v>1218</v>
      </c>
      <c r="C573" t="str">
        <f t="shared" si="13"/>
        <v>Tonya Gonzalez</v>
      </c>
      <c r="D573" t="s">
        <v>33</v>
      </c>
      <c r="E573">
        <v>54</v>
      </c>
      <c r="F573" t="s">
        <v>173</v>
      </c>
      <c r="G573" t="s">
        <v>68</v>
      </c>
      <c r="H573" t="s">
        <v>42</v>
      </c>
      <c r="I573">
        <v>1</v>
      </c>
      <c r="J573">
        <v>75</v>
      </c>
      <c r="K573">
        <v>4.4000000000000004</v>
      </c>
      <c r="L573" t="s">
        <v>70</v>
      </c>
    </row>
    <row r="574" spans="1:13" x14ac:dyDescent="0.3">
      <c r="A574" t="s">
        <v>1219</v>
      </c>
      <c r="B574" t="s">
        <v>1220</v>
      </c>
      <c r="C574" t="str">
        <f t="shared" si="13"/>
        <v>Elizabeth Bowman</v>
      </c>
      <c r="D574" t="s">
        <v>33</v>
      </c>
      <c r="E574">
        <v>31</v>
      </c>
      <c r="F574" t="s">
        <v>46</v>
      </c>
      <c r="G574" t="s">
        <v>47</v>
      </c>
      <c r="H574" t="s">
        <v>22</v>
      </c>
      <c r="I574">
        <v>2</v>
      </c>
      <c r="J574">
        <v>40</v>
      </c>
      <c r="K574">
        <v>2.2999999999999998</v>
      </c>
      <c r="L574" t="s">
        <v>30</v>
      </c>
      <c r="M574" s="1">
        <v>0.98</v>
      </c>
    </row>
    <row r="575" spans="1:13" x14ac:dyDescent="0.3">
      <c r="A575" t="s">
        <v>1221</v>
      </c>
      <c r="B575" t="s">
        <v>1222</v>
      </c>
      <c r="C575" t="str">
        <f t="shared" si="13"/>
        <v>Ariana Pittman</v>
      </c>
      <c r="D575" t="s">
        <v>13</v>
      </c>
      <c r="E575">
        <v>56</v>
      </c>
      <c r="F575" t="s">
        <v>173</v>
      </c>
      <c r="G575" t="s">
        <v>68</v>
      </c>
      <c r="H575" t="s">
        <v>42</v>
      </c>
      <c r="I575">
        <v>3</v>
      </c>
      <c r="J575" s="2">
        <v>30</v>
      </c>
      <c r="K575">
        <v>3.7</v>
      </c>
      <c r="M575" s="1">
        <v>0.83</v>
      </c>
    </row>
    <row r="576" spans="1:13" x14ac:dyDescent="0.3">
      <c r="A576" t="s">
        <v>1223</v>
      </c>
      <c r="B576" t="s">
        <v>1224</v>
      </c>
      <c r="C576" t="str">
        <f t="shared" si="13"/>
        <v>Antonio Johnson</v>
      </c>
      <c r="D576" t="s">
        <v>58</v>
      </c>
      <c r="E576">
        <v>46</v>
      </c>
      <c r="F576" t="s">
        <v>173</v>
      </c>
      <c r="G576" t="s">
        <v>68</v>
      </c>
      <c r="H576" t="s">
        <v>29</v>
      </c>
      <c r="I576">
        <v>11</v>
      </c>
      <c r="K576">
        <v>1.8</v>
      </c>
      <c r="L576">
        <v>1</v>
      </c>
      <c r="M576" s="1">
        <v>0.91</v>
      </c>
    </row>
    <row r="577" spans="1:13" x14ac:dyDescent="0.3">
      <c r="A577" t="s">
        <v>1225</v>
      </c>
      <c r="B577" t="s">
        <v>1226</v>
      </c>
      <c r="C577" t="str">
        <f t="shared" si="13"/>
        <v>Justin Lang</v>
      </c>
      <c r="D577" t="s">
        <v>93</v>
      </c>
      <c r="E577">
        <v>60</v>
      </c>
      <c r="F577" t="s">
        <v>134</v>
      </c>
      <c r="G577" t="s">
        <v>135</v>
      </c>
      <c r="H577" t="s">
        <v>42</v>
      </c>
      <c r="J577">
        <v>100</v>
      </c>
      <c r="K577">
        <v>0</v>
      </c>
      <c r="L577">
        <v>1</v>
      </c>
      <c r="M577" s="1">
        <v>0.96</v>
      </c>
    </row>
    <row r="578" spans="1:13" x14ac:dyDescent="0.3">
      <c r="A578" t="s">
        <v>1227</v>
      </c>
      <c r="B578" t="s">
        <v>1228</v>
      </c>
      <c r="C578" t="str">
        <f t="shared" si="13"/>
        <v>Kelli Ramirez</v>
      </c>
      <c r="D578" t="s">
        <v>33</v>
      </c>
      <c r="E578">
        <v>28</v>
      </c>
      <c r="F578" t="s">
        <v>108</v>
      </c>
      <c r="G578" t="s">
        <v>109</v>
      </c>
      <c r="H578" t="s">
        <v>29</v>
      </c>
      <c r="I578">
        <v>2</v>
      </c>
      <c r="J578" t="s">
        <v>94</v>
      </c>
      <c r="L578">
        <v>1</v>
      </c>
      <c r="M578" s="1">
        <v>0.85</v>
      </c>
    </row>
    <row r="579" spans="1:13" x14ac:dyDescent="0.3">
      <c r="A579" t="s">
        <v>1229</v>
      </c>
      <c r="B579" t="s">
        <v>1230</v>
      </c>
      <c r="C579" t="str">
        <f t="shared" si="13"/>
        <v>Deborah Torres</v>
      </c>
      <c r="D579" t="s">
        <v>33</v>
      </c>
      <c r="E579">
        <v>43</v>
      </c>
      <c r="F579" t="s">
        <v>46</v>
      </c>
      <c r="G579" t="s">
        <v>47</v>
      </c>
      <c r="H579" t="s">
        <v>34</v>
      </c>
      <c r="I579">
        <v>20</v>
      </c>
      <c r="J579" t="s">
        <v>105</v>
      </c>
      <c r="K579">
        <v>2.7</v>
      </c>
      <c r="L579" t="b">
        <v>0</v>
      </c>
      <c r="M579" s="1">
        <v>0.72</v>
      </c>
    </row>
    <row r="580" spans="1:13" x14ac:dyDescent="0.3">
      <c r="A580" t="s">
        <v>1231</v>
      </c>
      <c r="B580" t="s">
        <v>1232</v>
      </c>
      <c r="C580" t="str">
        <f t="shared" si="13"/>
        <v>Joseph Horn</v>
      </c>
      <c r="D580" t="s">
        <v>58</v>
      </c>
      <c r="E580">
        <v>41</v>
      </c>
      <c r="F580" t="s">
        <v>130</v>
      </c>
      <c r="G580" t="s">
        <v>131</v>
      </c>
      <c r="H580" t="s">
        <v>34</v>
      </c>
      <c r="I580">
        <v>11</v>
      </c>
      <c r="J580" s="2">
        <v>20</v>
      </c>
      <c r="K580">
        <v>4.7</v>
      </c>
      <c r="M580" s="1">
        <v>0.69</v>
      </c>
    </row>
    <row r="581" spans="1:13" x14ac:dyDescent="0.3">
      <c r="A581" t="s">
        <v>1233</v>
      </c>
      <c r="B581" t="s">
        <v>1234</v>
      </c>
      <c r="C581" t="str">
        <f t="shared" si="13"/>
        <v>Christopher Robinson</v>
      </c>
      <c r="D581" t="s">
        <v>26</v>
      </c>
      <c r="E581">
        <v>41</v>
      </c>
      <c r="F581" t="s">
        <v>63</v>
      </c>
      <c r="G581" t="s">
        <v>21</v>
      </c>
      <c r="H581" t="s">
        <v>85</v>
      </c>
      <c r="I581">
        <v>0</v>
      </c>
      <c r="J581" s="2">
        <v>20</v>
      </c>
      <c r="K581">
        <v>3.1</v>
      </c>
      <c r="L581">
        <v>0</v>
      </c>
      <c r="M581">
        <v>90</v>
      </c>
    </row>
    <row r="582" spans="1:13" x14ac:dyDescent="0.3">
      <c r="A582" t="s">
        <v>1235</v>
      </c>
      <c r="B582" t="s">
        <v>1236</v>
      </c>
      <c r="C582" t="str">
        <f t="shared" si="13"/>
        <v>Sandra Mccormick</v>
      </c>
      <c r="D582" t="s">
        <v>33</v>
      </c>
      <c r="E582">
        <v>40</v>
      </c>
      <c r="F582" t="s">
        <v>63</v>
      </c>
      <c r="G582" t="s">
        <v>21</v>
      </c>
      <c r="H582" t="s">
        <v>22</v>
      </c>
      <c r="I582">
        <v>20</v>
      </c>
      <c r="J582">
        <v>20</v>
      </c>
      <c r="K582">
        <v>2.2999999999999998</v>
      </c>
      <c r="L582">
        <v>0</v>
      </c>
      <c r="M582" s="1">
        <v>0.92</v>
      </c>
    </row>
    <row r="583" spans="1:13" x14ac:dyDescent="0.3">
      <c r="A583" t="s">
        <v>1237</v>
      </c>
      <c r="B583" t="s">
        <v>1238</v>
      </c>
      <c r="C583" t="str">
        <f t="shared" si="13"/>
        <v>Michael Holland</v>
      </c>
      <c r="D583" t="s">
        <v>93</v>
      </c>
      <c r="E583">
        <v>45</v>
      </c>
      <c r="F583" t="s">
        <v>27</v>
      </c>
      <c r="G583" t="s">
        <v>28</v>
      </c>
      <c r="H583" t="s">
        <v>85</v>
      </c>
      <c r="I583">
        <v>3</v>
      </c>
      <c r="J583" t="s">
        <v>307</v>
      </c>
      <c r="K583">
        <v>1.3</v>
      </c>
      <c r="L583" t="s">
        <v>70</v>
      </c>
      <c r="M583" s="1">
        <v>0.91</v>
      </c>
    </row>
    <row r="584" spans="1:13" x14ac:dyDescent="0.3">
      <c r="A584" t="s">
        <v>1239</v>
      </c>
      <c r="B584" t="s">
        <v>1240</v>
      </c>
      <c r="C584" t="str">
        <f t="shared" si="13"/>
        <v>Kenneth Stevenson</v>
      </c>
      <c r="D584" t="s">
        <v>58</v>
      </c>
      <c r="E584">
        <v>47</v>
      </c>
      <c r="F584" t="s">
        <v>134</v>
      </c>
      <c r="G584" t="s">
        <v>135</v>
      </c>
      <c r="H584" t="s">
        <v>85</v>
      </c>
      <c r="I584">
        <v>28</v>
      </c>
      <c r="J584" t="s">
        <v>94</v>
      </c>
      <c r="K584">
        <v>2.9</v>
      </c>
      <c r="L584" t="b">
        <v>1</v>
      </c>
    </row>
    <row r="585" spans="1:13" x14ac:dyDescent="0.3">
      <c r="A585" t="s">
        <v>1241</v>
      </c>
      <c r="B585" t="s">
        <v>1242</v>
      </c>
      <c r="C585" t="str">
        <f t="shared" si="13"/>
        <v>Timothy Bennett</v>
      </c>
      <c r="D585" t="s">
        <v>45</v>
      </c>
      <c r="E585">
        <v>34</v>
      </c>
      <c r="F585" t="s">
        <v>89</v>
      </c>
      <c r="G585" t="s">
        <v>90</v>
      </c>
      <c r="H585" t="s">
        <v>48</v>
      </c>
      <c r="I585">
        <v>0</v>
      </c>
      <c r="J585">
        <v>40</v>
      </c>
      <c r="K585">
        <v>3.3</v>
      </c>
      <c r="L585">
        <v>0</v>
      </c>
      <c r="M585" s="1">
        <v>0.98</v>
      </c>
    </row>
    <row r="586" spans="1:13" x14ac:dyDescent="0.3">
      <c r="A586" t="s">
        <v>1243</v>
      </c>
      <c r="B586" t="s">
        <v>1244</v>
      </c>
      <c r="C586" t="str">
        <f t="shared" si="13"/>
        <v>Gregory Randall</v>
      </c>
      <c r="D586" t="s">
        <v>88</v>
      </c>
      <c r="E586">
        <v>47</v>
      </c>
      <c r="F586" t="s">
        <v>55</v>
      </c>
      <c r="G586" t="s">
        <v>21</v>
      </c>
      <c r="H586" t="s">
        <v>69</v>
      </c>
      <c r="I586">
        <v>4</v>
      </c>
      <c r="J586" t="s">
        <v>307</v>
      </c>
      <c r="K586">
        <v>4.2</v>
      </c>
      <c r="M586" s="1">
        <v>0.82</v>
      </c>
    </row>
    <row r="587" spans="1:13" x14ac:dyDescent="0.3">
      <c r="A587" t="s">
        <v>1245</v>
      </c>
      <c r="B587" t="s">
        <v>1246</v>
      </c>
      <c r="C587" t="str">
        <f t="shared" si="13"/>
        <v>Charles Martinez</v>
      </c>
      <c r="D587" t="s">
        <v>88</v>
      </c>
      <c r="E587">
        <v>32</v>
      </c>
      <c r="F587" t="s">
        <v>173</v>
      </c>
      <c r="G587" t="s">
        <v>68</v>
      </c>
      <c r="H587" t="s">
        <v>69</v>
      </c>
      <c r="I587">
        <v>9</v>
      </c>
      <c r="J587" t="s">
        <v>52</v>
      </c>
      <c r="K587">
        <v>1.3</v>
      </c>
      <c r="L587" t="b">
        <v>1</v>
      </c>
      <c r="M587" s="1">
        <v>0.83</v>
      </c>
    </row>
    <row r="588" spans="1:13" x14ac:dyDescent="0.3">
      <c r="A588" t="s">
        <v>1247</v>
      </c>
      <c r="B588" t="s">
        <v>1248</v>
      </c>
      <c r="C588" t="str">
        <f t="shared" si="13"/>
        <v>James Hall</v>
      </c>
      <c r="D588" t="s">
        <v>88</v>
      </c>
      <c r="E588">
        <v>28</v>
      </c>
      <c r="F588" t="s">
        <v>63</v>
      </c>
      <c r="G588" t="s">
        <v>21</v>
      </c>
      <c r="H588" t="s">
        <v>22</v>
      </c>
      <c r="I588">
        <v>2</v>
      </c>
      <c r="J588" s="2">
        <v>100</v>
      </c>
      <c r="K588">
        <v>4.4000000000000004</v>
      </c>
      <c r="L588" t="b">
        <v>1</v>
      </c>
    </row>
    <row r="589" spans="1:13" x14ac:dyDescent="0.3">
      <c r="A589" t="s">
        <v>1249</v>
      </c>
      <c r="B589" t="s">
        <v>1250</v>
      </c>
      <c r="C589" t="str">
        <f t="shared" si="13"/>
        <v>Michael Garcia</v>
      </c>
      <c r="D589" t="s">
        <v>45</v>
      </c>
      <c r="E589">
        <v>32</v>
      </c>
      <c r="F589" t="s">
        <v>20</v>
      </c>
      <c r="G589" t="s">
        <v>21</v>
      </c>
      <c r="H589" t="s">
        <v>85</v>
      </c>
      <c r="I589">
        <v>1</v>
      </c>
      <c r="J589">
        <v>100</v>
      </c>
      <c r="K589">
        <v>3.4</v>
      </c>
      <c r="L589" t="b">
        <v>1</v>
      </c>
    </row>
    <row r="590" spans="1:13" x14ac:dyDescent="0.3">
      <c r="A590" t="s">
        <v>1251</v>
      </c>
      <c r="B590" t="s">
        <v>1252</v>
      </c>
      <c r="C590" t="str">
        <f t="shared" si="13"/>
        <v>Michele Duran</v>
      </c>
      <c r="D590" t="s">
        <v>33</v>
      </c>
      <c r="E590">
        <v>49</v>
      </c>
      <c r="F590" t="s">
        <v>40</v>
      </c>
      <c r="G590" t="s">
        <v>41</v>
      </c>
      <c r="H590" t="s">
        <v>42</v>
      </c>
      <c r="I590">
        <v>2</v>
      </c>
      <c r="J590" s="2">
        <v>100</v>
      </c>
      <c r="K590">
        <v>3.4</v>
      </c>
      <c r="L590">
        <v>1</v>
      </c>
      <c r="M590" s="1">
        <v>0.85</v>
      </c>
    </row>
    <row r="591" spans="1:13" x14ac:dyDescent="0.3">
      <c r="A591" t="s">
        <v>1253</v>
      </c>
      <c r="B591" t="s">
        <v>1254</v>
      </c>
      <c r="C591" t="str">
        <f t="shared" si="13"/>
        <v>Jessica Gray</v>
      </c>
      <c r="D591" t="s">
        <v>13</v>
      </c>
      <c r="E591">
        <v>36</v>
      </c>
      <c r="F591" t="s">
        <v>67</v>
      </c>
      <c r="G591" t="s">
        <v>68</v>
      </c>
      <c r="H591" t="s">
        <v>22</v>
      </c>
      <c r="I591">
        <v>16</v>
      </c>
      <c r="J591" t="s">
        <v>307</v>
      </c>
      <c r="K591">
        <v>3.2</v>
      </c>
    </row>
    <row r="592" spans="1:13" x14ac:dyDescent="0.3">
      <c r="A592" t="s">
        <v>1255</v>
      </c>
      <c r="B592" t="s">
        <v>1256</v>
      </c>
      <c r="C592" t="str">
        <f t="shared" ref="C592:C601" si="14">B592</f>
        <v>Keith Shaffer</v>
      </c>
      <c r="D592" t="s">
        <v>88</v>
      </c>
      <c r="E592">
        <v>59</v>
      </c>
      <c r="F592" t="s">
        <v>173</v>
      </c>
      <c r="G592" t="s">
        <v>68</v>
      </c>
      <c r="H592" t="s">
        <v>16</v>
      </c>
      <c r="I592">
        <v>22</v>
      </c>
      <c r="J592" t="s">
        <v>307</v>
      </c>
      <c r="K592">
        <v>3.6</v>
      </c>
      <c r="L592" t="s">
        <v>30</v>
      </c>
      <c r="M592" s="1">
        <v>0.63</v>
      </c>
    </row>
    <row r="593" spans="1:13" x14ac:dyDescent="0.3">
      <c r="A593" t="s">
        <v>1257</v>
      </c>
      <c r="B593" t="s">
        <v>1258</v>
      </c>
      <c r="C593" t="str">
        <f t="shared" si="14"/>
        <v>Jessica Decker</v>
      </c>
      <c r="D593" t="s">
        <v>37</v>
      </c>
      <c r="E593">
        <v>52</v>
      </c>
      <c r="F593" t="s">
        <v>123</v>
      </c>
      <c r="G593" t="s">
        <v>21</v>
      </c>
      <c r="H593" t="s">
        <v>74</v>
      </c>
      <c r="I593">
        <v>22</v>
      </c>
      <c r="J593" s="2">
        <v>20</v>
      </c>
      <c r="K593">
        <v>0</v>
      </c>
      <c r="L593">
        <v>0</v>
      </c>
    </row>
    <row r="594" spans="1:13" x14ac:dyDescent="0.3">
      <c r="A594" t="s">
        <v>1259</v>
      </c>
      <c r="B594" t="s">
        <v>1260</v>
      </c>
      <c r="C594" t="str">
        <f t="shared" si="14"/>
        <v>Brianna Pittman</v>
      </c>
      <c r="D594" t="s">
        <v>37</v>
      </c>
      <c r="E594">
        <v>24</v>
      </c>
      <c r="F594" t="s">
        <v>169</v>
      </c>
      <c r="G594" t="s">
        <v>170</v>
      </c>
      <c r="H594" t="s">
        <v>16</v>
      </c>
      <c r="I594">
        <v>5</v>
      </c>
      <c r="J594">
        <v>40</v>
      </c>
      <c r="K594">
        <v>1.8</v>
      </c>
      <c r="L594">
        <v>1</v>
      </c>
      <c r="M594" s="1">
        <v>0.86</v>
      </c>
    </row>
    <row r="595" spans="1:13" x14ac:dyDescent="0.3">
      <c r="A595" t="s">
        <v>1261</v>
      </c>
      <c r="B595" t="s">
        <v>1262</v>
      </c>
      <c r="C595" t="str">
        <f t="shared" si="14"/>
        <v>Kimberly Hunter</v>
      </c>
      <c r="D595" t="s">
        <v>19</v>
      </c>
      <c r="E595">
        <v>26</v>
      </c>
      <c r="F595" t="s">
        <v>20</v>
      </c>
      <c r="G595" t="s">
        <v>21</v>
      </c>
      <c r="H595" t="s">
        <v>29</v>
      </c>
      <c r="I595">
        <v>2</v>
      </c>
      <c r="J595" t="s">
        <v>49</v>
      </c>
      <c r="K595">
        <v>2.5</v>
      </c>
      <c r="L595" t="s">
        <v>64</v>
      </c>
      <c r="M595">
        <v>60</v>
      </c>
    </row>
    <row r="596" spans="1:13" x14ac:dyDescent="0.3">
      <c r="A596" t="s">
        <v>1263</v>
      </c>
      <c r="B596" t="s">
        <v>1264</v>
      </c>
      <c r="C596" t="str">
        <f t="shared" si="14"/>
        <v>Daniel Martin</v>
      </c>
      <c r="D596" t="s">
        <v>88</v>
      </c>
      <c r="E596">
        <v>55</v>
      </c>
      <c r="F596" t="s">
        <v>123</v>
      </c>
      <c r="G596" t="s">
        <v>21</v>
      </c>
      <c r="H596" t="s">
        <v>74</v>
      </c>
      <c r="I596">
        <v>24</v>
      </c>
      <c r="J596">
        <v>40</v>
      </c>
      <c r="K596">
        <v>2</v>
      </c>
      <c r="L596">
        <v>1</v>
      </c>
      <c r="M596">
        <v>88</v>
      </c>
    </row>
    <row r="597" spans="1:13" x14ac:dyDescent="0.3">
      <c r="A597" t="s">
        <v>1265</v>
      </c>
      <c r="B597" t="s">
        <v>1266</v>
      </c>
      <c r="C597" t="str">
        <f t="shared" si="14"/>
        <v>Rachel Smith</v>
      </c>
      <c r="D597" t="s">
        <v>19</v>
      </c>
      <c r="E597">
        <v>56</v>
      </c>
      <c r="F597" t="s">
        <v>14</v>
      </c>
      <c r="G597" t="s">
        <v>15</v>
      </c>
      <c r="H597" t="s">
        <v>22</v>
      </c>
      <c r="I597">
        <v>37</v>
      </c>
      <c r="J597">
        <v>40</v>
      </c>
      <c r="K597">
        <v>0</v>
      </c>
      <c r="L597" t="s">
        <v>30</v>
      </c>
      <c r="M597" s="1">
        <v>0.7</v>
      </c>
    </row>
    <row r="598" spans="1:13" x14ac:dyDescent="0.3">
      <c r="A598" t="s">
        <v>1267</v>
      </c>
      <c r="B598" t="s">
        <v>1268</v>
      </c>
      <c r="C598" t="str">
        <f t="shared" si="14"/>
        <v>Michael Miller</v>
      </c>
      <c r="D598" t="s">
        <v>45</v>
      </c>
      <c r="E598">
        <v>36</v>
      </c>
      <c r="F598" t="s">
        <v>130</v>
      </c>
      <c r="G598" t="s">
        <v>131</v>
      </c>
      <c r="H598" t="s">
        <v>29</v>
      </c>
      <c r="I598">
        <v>3</v>
      </c>
      <c r="J598" t="s">
        <v>94</v>
      </c>
      <c r="K598">
        <v>1.3</v>
      </c>
      <c r="L598">
        <v>1</v>
      </c>
      <c r="M598" s="1">
        <v>0.77</v>
      </c>
    </row>
    <row r="599" spans="1:13" x14ac:dyDescent="0.3">
      <c r="A599" t="s">
        <v>1269</v>
      </c>
      <c r="B599" t="s">
        <v>1270</v>
      </c>
      <c r="C599" t="str">
        <f t="shared" si="14"/>
        <v>Willie Clark</v>
      </c>
      <c r="D599" t="s">
        <v>88</v>
      </c>
      <c r="E599">
        <v>48</v>
      </c>
      <c r="F599" t="s">
        <v>67</v>
      </c>
      <c r="G599" t="s">
        <v>68</v>
      </c>
      <c r="H599" t="s">
        <v>34</v>
      </c>
      <c r="I599">
        <v>18</v>
      </c>
      <c r="J599">
        <v>75</v>
      </c>
      <c r="K599">
        <v>0</v>
      </c>
      <c r="L599">
        <v>0</v>
      </c>
      <c r="M599" s="1">
        <v>0.8</v>
      </c>
    </row>
    <row r="600" spans="1:13" x14ac:dyDescent="0.3">
      <c r="A600" t="s">
        <v>1271</v>
      </c>
      <c r="B600" t="s">
        <v>1272</v>
      </c>
      <c r="C600" t="str">
        <f t="shared" si="14"/>
        <v>Jeremy Hernandez</v>
      </c>
      <c r="D600" t="s">
        <v>93</v>
      </c>
      <c r="E600">
        <v>55</v>
      </c>
      <c r="F600" t="s">
        <v>134</v>
      </c>
      <c r="G600" t="s">
        <v>135</v>
      </c>
      <c r="H600" t="s">
        <v>110</v>
      </c>
      <c r="I600">
        <v>6</v>
      </c>
      <c r="J600" s="2">
        <v>40</v>
      </c>
      <c r="K600">
        <v>3.6</v>
      </c>
      <c r="L600" t="s">
        <v>70</v>
      </c>
    </row>
    <row r="601" spans="1:13" x14ac:dyDescent="0.3">
      <c r="A601" t="s">
        <v>1273</v>
      </c>
      <c r="B601" t="s">
        <v>1274</v>
      </c>
      <c r="C601" t="str">
        <f t="shared" si="14"/>
        <v>Tina Shelton</v>
      </c>
      <c r="D601" t="s">
        <v>37</v>
      </c>
      <c r="E601">
        <v>56</v>
      </c>
      <c r="F601" t="s">
        <v>184</v>
      </c>
      <c r="G601" t="s">
        <v>68</v>
      </c>
      <c r="H601" t="s">
        <v>85</v>
      </c>
      <c r="I601">
        <v>17</v>
      </c>
      <c r="K601">
        <v>1.3</v>
      </c>
      <c r="M601" s="1">
        <v>0.87</v>
      </c>
    </row>
    <row r="602" spans="1:13" x14ac:dyDescent="0.3">
      <c r="A602" t="s">
        <v>1275</v>
      </c>
      <c r="B602" t="s">
        <v>1276</v>
      </c>
      <c r="C602" t="str">
        <f>RIGHT(B602, LEN(B602) - FIND(". ", B602))</f>
        <v xml:space="preserve"> Pamela Larson</v>
      </c>
      <c r="D602" t="s">
        <v>73</v>
      </c>
      <c r="E602">
        <v>28</v>
      </c>
      <c r="F602" t="s">
        <v>123</v>
      </c>
      <c r="G602" t="s">
        <v>21</v>
      </c>
      <c r="H602" t="s">
        <v>16</v>
      </c>
      <c r="I602">
        <v>1</v>
      </c>
      <c r="J602">
        <v>75</v>
      </c>
      <c r="K602">
        <v>2.7</v>
      </c>
      <c r="L602" t="b">
        <v>1</v>
      </c>
      <c r="M602" s="1">
        <v>0.93</v>
      </c>
    </row>
    <row r="603" spans="1:13" x14ac:dyDescent="0.3">
      <c r="A603" t="s">
        <v>1277</v>
      </c>
      <c r="B603" t="s">
        <v>1278</v>
      </c>
      <c r="C603" t="str">
        <f t="shared" ref="C603:C666" si="15">B603</f>
        <v>Ryan Ewing</v>
      </c>
      <c r="D603" t="s">
        <v>26</v>
      </c>
      <c r="E603">
        <v>60</v>
      </c>
      <c r="F603" t="s">
        <v>55</v>
      </c>
      <c r="G603" t="s">
        <v>21</v>
      </c>
      <c r="H603" t="s">
        <v>42</v>
      </c>
      <c r="I603">
        <v>39</v>
      </c>
      <c r="J603" t="s">
        <v>23</v>
      </c>
      <c r="K603">
        <v>1.5</v>
      </c>
      <c r="M603">
        <v>88</v>
      </c>
    </row>
    <row r="604" spans="1:13" x14ac:dyDescent="0.3">
      <c r="A604" t="s">
        <v>1279</v>
      </c>
      <c r="B604" t="s">
        <v>1280</v>
      </c>
      <c r="C604" t="str">
        <f t="shared" si="15"/>
        <v>Mark Cochran</v>
      </c>
      <c r="D604" t="s">
        <v>26</v>
      </c>
      <c r="E604">
        <v>34</v>
      </c>
      <c r="F604" t="s">
        <v>108</v>
      </c>
      <c r="G604" t="s">
        <v>109</v>
      </c>
      <c r="H604" t="s">
        <v>16</v>
      </c>
      <c r="I604">
        <v>15</v>
      </c>
      <c r="J604">
        <v>20</v>
      </c>
      <c r="K604">
        <v>0</v>
      </c>
      <c r="L604">
        <v>0</v>
      </c>
      <c r="M604" s="1">
        <v>1</v>
      </c>
    </row>
    <row r="605" spans="1:13" x14ac:dyDescent="0.3">
      <c r="A605" t="s">
        <v>1281</v>
      </c>
      <c r="B605" t="s">
        <v>1282</v>
      </c>
      <c r="C605" t="str">
        <f t="shared" si="15"/>
        <v>Martha Carson</v>
      </c>
      <c r="D605" t="s">
        <v>37</v>
      </c>
      <c r="E605">
        <v>38</v>
      </c>
      <c r="F605" t="s">
        <v>46</v>
      </c>
      <c r="G605" t="s">
        <v>47</v>
      </c>
      <c r="H605" t="s">
        <v>42</v>
      </c>
      <c r="I605">
        <v>13</v>
      </c>
      <c r="J605" s="2">
        <v>40</v>
      </c>
      <c r="K605">
        <v>0</v>
      </c>
      <c r="L605">
        <v>1</v>
      </c>
      <c r="M605">
        <v>61</v>
      </c>
    </row>
    <row r="606" spans="1:13" x14ac:dyDescent="0.3">
      <c r="A606" t="s">
        <v>1283</v>
      </c>
      <c r="B606" t="s">
        <v>1284</v>
      </c>
      <c r="C606" t="str">
        <f t="shared" si="15"/>
        <v>Heather Jackson</v>
      </c>
      <c r="D606" t="s">
        <v>19</v>
      </c>
      <c r="E606">
        <v>51</v>
      </c>
      <c r="F606" t="s">
        <v>108</v>
      </c>
      <c r="G606" t="s">
        <v>109</v>
      </c>
      <c r="H606" t="s">
        <v>34</v>
      </c>
      <c r="I606">
        <v>17</v>
      </c>
      <c r="J606">
        <v>100</v>
      </c>
      <c r="K606">
        <v>3</v>
      </c>
      <c r="L606" t="b">
        <v>0</v>
      </c>
      <c r="M606" s="1">
        <v>0.79</v>
      </c>
    </row>
    <row r="607" spans="1:13" x14ac:dyDescent="0.3">
      <c r="A607" t="s">
        <v>1285</v>
      </c>
      <c r="B607" t="s">
        <v>1286</v>
      </c>
      <c r="C607" t="str">
        <f t="shared" si="15"/>
        <v>Megan Young</v>
      </c>
      <c r="D607" t="s">
        <v>13</v>
      </c>
      <c r="E607">
        <v>21</v>
      </c>
      <c r="F607" t="s">
        <v>81</v>
      </c>
      <c r="G607" t="s">
        <v>82</v>
      </c>
      <c r="H607" t="s">
        <v>22</v>
      </c>
      <c r="I607">
        <v>1</v>
      </c>
      <c r="J607">
        <v>30</v>
      </c>
      <c r="K607">
        <v>1.2</v>
      </c>
      <c r="M607" s="1">
        <v>0.73</v>
      </c>
    </row>
    <row r="608" spans="1:13" x14ac:dyDescent="0.3">
      <c r="A608" t="s">
        <v>1287</v>
      </c>
      <c r="B608" t="s">
        <v>1288</v>
      </c>
      <c r="C608" t="str">
        <f t="shared" si="15"/>
        <v>Thomas Davis</v>
      </c>
      <c r="D608" t="s">
        <v>88</v>
      </c>
      <c r="E608">
        <v>35</v>
      </c>
      <c r="F608" t="s">
        <v>14</v>
      </c>
      <c r="G608" t="s">
        <v>15</v>
      </c>
      <c r="H608" t="s">
        <v>69</v>
      </c>
      <c r="I608">
        <v>16</v>
      </c>
      <c r="K608">
        <v>1.3</v>
      </c>
      <c r="L608">
        <v>1</v>
      </c>
      <c r="M608" s="1">
        <v>0.64</v>
      </c>
    </row>
    <row r="609" spans="1:13" x14ac:dyDescent="0.3">
      <c r="A609" t="s">
        <v>1289</v>
      </c>
      <c r="B609" t="s">
        <v>1290</v>
      </c>
      <c r="C609" t="str">
        <f t="shared" si="15"/>
        <v>Thomas Mooney</v>
      </c>
      <c r="D609" t="s">
        <v>88</v>
      </c>
      <c r="E609">
        <v>27</v>
      </c>
      <c r="F609" t="s">
        <v>103</v>
      </c>
      <c r="G609" t="s">
        <v>104</v>
      </c>
      <c r="H609" t="s">
        <v>34</v>
      </c>
      <c r="I609">
        <v>9</v>
      </c>
      <c r="J609" s="2">
        <v>100</v>
      </c>
      <c r="L609" t="b">
        <v>1</v>
      </c>
    </row>
    <row r="610" spans="1:13" x14ac:dyDescent="0.3">
      <c r="A610" t="s">
        <v>1291</v>
      </c>
      <c r="B610" t="s">
        <v>1292</v>
      </c>
      <c r="C610" t="str">
        <f t="shared" si="15"/>
        <v>Susan Smith</v>
      </c>
      <c r="D610" t="s">
        <v>19</v>
      </c>
      <c r="E610">
        <v>42</v>
      </c>
      <c r="F610" t="s">
        <v>59</v>
      </c>
      <c r="G610" t="s">
        <v>60</v>
      </c>
      <c r="H610" t="s">
        <v>22</v>
      </c>
      <c r="I610">
        <v>20</v>
      </c>
      <c r="J610" t="s">
        <v>94</v>
      </c>
      <c r="K610">
        <v>3.8</v>
      </c>
      <c r="L610" t="s">
        <v>30</v>
      </c>
      <c r="M610" s="1">
        <v>0.93</v>
      </c>
    </row>
    <row r="611" spans="1:13" x14ac:dyDescent="0.3">
      <c r="A611" t="s">
        <v>1293</v>
      </c>
      <c r="B611" t="s">
        <v>1294</v>
      </c>
      <c r="C611" t="str">
        <f t="shared" si="15"/>
        <v>Brianna Orr</v>
      </c>
      <c r="D611" t="s">
        <v>33</v>
      </c>
      <c r="E611">
        <v>52</v>
      </c>
      <c r="F611" t="s">
        <v>123</v>
      </c>
      <c r="G611" t="s">
        <v>21</v>
      </c>
      <c r="H611" t="s">
        <v>16</v>
      </c>
      <c r="I611">
        <v>29</v>
      </c>
      <c r="J611">
        <v>30</v>
      </c>
      <c r="K611">
        <v>3.8</v>
      </c>
      <c r="L611">
        <v>0</v>
      </c>
      <c r="M611" s="1">
        <v>0.68</v>
      </c>
    </row>
    <row r="612" spans="1:13" x14ac:dyDescent="0.3">
      <c r="A612" t="s">
        <v>1295</v>
      </c>
      <c r="B612" t="s">
        <v>1296</v>
      </c>
      <c r="C612" t="str">
        <f t="shared" si="15"/>
        <v>Dustin Smith</v>
      </c>
      <c r="D612" t="s">
        <v>26</v>
      </c>
      <c r="E612">
        <v>53</v>
      </c>
      <c r="F612" t="s">
        <v>108</v>
      </c>
      <c r="G612" t="s">
        <v>109</v>
      </c>
      <c r="H612" t="s">
        <v>34</v>
      </c>
      <c r="I612">
        <v>21</v>
      </c>
      <c r="J612">
        <v>40</v>
      </c>
      <c r="K612">
        <v>4.7</v>
      </c>
      <c r="L612">
        <v>1</v>
      </c>
      <c r="M612" s="1">
        <v>0.62</v>
      </c>
    </row>
    <row r="613" spans="1:13" x14ac:dyDescent="0.3">
      <c r="A613" t="s">
        <v>1297</v>
      </c>
      <c r="B613" t="s">
        <v>1298</v>
      </c>
      <c r="C613" t="str">
        <f t="shared" si="15"/>
        <v>Sarah White</v>
      </c>
      <c r="D613" t="s">
        <v>19</v>
      </c>
      <c r="E613">
        <v>54</v>
      </c>
      <c r="F613" t="s">
        <v>14</v>
      </c>
      <c r="G613" t="s">
        <v>15</v>
      </c>
      <c r="H613" t="s">
        <v>22</v>
      </c>
      <c r="I613">
        <v>28</v>
      </c>
      <c r="J613" t="s">
        <v>52</v>
      </c>
      <c r="K613">
        <v>1.1000000000000001</v>
      </c>
      <c r="L613" t="s">
        <v>154</v>
      </c>
    </row>
    <row r="614" spans="1:13" x14ac:dyDescent="0.3">
      <c r="A614" t="s">
        <v>1299</v>
      </c>
      <c r="B614" t="s">
        <v>1300</v>
      </c>
      <c r="C614" t="str">
        <f t="shared" si="15"/>
        <v>Michael Davis</v>
      </c>
      <c r="D614" t="s">
        <v>58</v>
      </c>
      <c r="E614">
        <v>51</v>
      </c>
      <c r="F614" t="s">
        <v>81</v>
      </c>
      <c r="G614" t="s">
        <v>82</v>
      </c>
      <c r="H614" t="s">
        <v>29</v>
      </c>
      <c r="I614">
        <v>5</v>
      </c>
      <c r="J614">
        <v>50</v>
      </c>
      <c r="K614">
        <v>4.2</v>
      </c>
      <c r="L614">
        <v>1</v>
      </c>
      <c r="M614" s="1">
        <v>0.82</v>
      </c>
    </row>
    <row r="615" spans="1:13" x14ac:dyDescent="0.3">
      <c r="A615" t="s">
        <v>1301</v>
      </c>
      <c r="B615" t="s">
        <v>1302</v>
      </c>
      <c r="C615" t="str">
        <f t="shared" si="15"/>
        <v>Jennifer Phillips</v>
      </c>
      <c r="D615" t="s">
        <v>13</v>
      </c>
      <c r="E615">
        <v>30</v>
      </c>
      <c r="F615" t="s">
        <v>108</v>
      </c>
      <c r="G615" t="s">
        <v>109</v>
      </c>
      <c r="H615" t="s">
        <v>34</v>
      </c>
      <c r="I615">
        <v>0</v>
      </c>
      <c r="K615">
        <v>0</v>
      </c>
      <c r="L615">
        <v>0</v>
      </c>
    </row>
    <row r="616" spans="1:13" x14ac:dyDescent="0.3">
      <c r="A616" t="s">
        <v>1303</v>
      </c>
      <c r="B616" t="s">
        <v>1304</v>
      </c>
      <c r="C616" t="str">
        <f t="shared" si="15"/>
        <v>Dana Sanders</v>
      </c>
      <c r="D616" t="s">
        <v>73</v>
      </c>
      <c r="E616">
        <v>45</v>
      </c>
      <c r="F616" t="s">
        <v>40</v>
      </c>
      <c r="G616" t="s">
        <v>41</v>
      </c>
      <c r="H616" t="s">
        <v>110</v>
      </c>
      <c r="I616">
        <v>27</v>
      </c>
      <c r="J616" t="s">
        <v>49</v>
      </c>
      <c r="K616">
        <v>0</v>
      </c>
      <c r="M616" s="1">
        <v>0.85</v>
      </c>
    </row>
    <row r="617" spans="1:13" x14ac:dyDescent="0.3">
      <c r="A617" t="s">
        <v>1305</v>
      </c>
      <c r="B617" t="s">
        <v>1306</v>
      </c>
      <c r="C617" t="str">
        <f t="shared" si="15"/>
        <v>Daniel Quinn</v>
      </c>
      <c r="D617" t="s">
        <v>26</v>
      </c>
      <c r="E617">
        <v>57</v>
      </c>
      <c r="F617" t="s">
        <v>46</v>
      </c>
      <c r="G617" t="s">
        <v>47</v>
      </c>
      <c r="H617" t="s">
        <v>29</v>
      </c>
      <c r="I617">
        <v>26</v>
      </c>
      <c r="J617" t="s">
        <v>23</v>
      </c>
      <c r="K617">
        <v>2.4</v>
      </c>
      <c r="L617">
        <v>1</v>
      </c>
      <c r="M617" s="1">
        <v>0.78</v>
      </c>
    </row>
    <row r="618" spans="1:13" x14ac:dyDescent="0.3">
      <c r="A618" t="s">
        <v>1307</v>
      </c>
      <c r="B618" t="s">
        <v>1308</v>
      </c>
      <c r="C618" t="str">
        <f t="shared" si="15"/>
        <v>Matthew Steele</v>
      </c>
      <c r="D618" t="s">
        <v>93</v>
      </c>
      <c r="E618">
        <v>38</v>
      </c>
      <c r="F618" t="s">
        <v>59</v>
      </c>
      <c r="G618" t="s">
        <v>60</v>
      </c>
      <c r="H618" t="s">
        <v>16</v>
      </c>
      <c r="I618">
        <v>19</v>
      </c>
      <c r="J618">
        <v>40</v>
      </c>
      <c r="K618">
        <v>0</v>
      </c>
      <c r="L618">
        <v>1</v>
      </c>
      <c r="M618" s="1">
        <v>0.86</v>
      </c>
    </row>
    <row r="619" spans="1:13" x14ac:dyDescent="0.3">
      <c r="A619" t="s">
        <v>1309</v>
      </c>
      <c r="B619" t="s">
        <v>1310</v>
      </c>
      <c r="C619" t="str">
        <f t="shared" si="15"/>
        <v>Michele Taylor</v>
      </c>
      <c r="D619" t="s">
        <v>19</v>
      </c>
      <c r="E619">
        <v>42</v>
      </c>
      <c r="F619" t="s">
        <v>119</v>
      </c>
      <c r="G619" t="s">
        <v>120</v>
      </c>
      <c r="H619" t="s">
        <v>85</v>
      </c>
      <c r="I619">
        <v>24</v>
      </c>
      <c r="J619" t="s">
        <v>52</v>
      </c>
      <c r="L619" t="b">
        <v>0</v>
      </c>
      <c r="M619" s="1">
        <v>0.88</v>
      </c>
    </row>
    <row r="620" spans="1:13" x14ac:dyDescent="0.3">
      <c r="A620" t="s">
        <v>1311</v>
      </c>
      <c r="B620" t="s">
        <v>1312</v>
      </c>
      <c r="C620" t="str">
        <f t="shared" si="15"/>
        <v>Ashley Hammond</v>
      </c>
      <c r="D620" t="s">
        <v>73</v>
      </c>
      <c r="E620">
        <v>30</v>
      </c>
      <c r="F620" t="s">
        <v>148</v>
      </c>
      <c r="G620" t="s">
        <v>149</v>
      </c>
      <c r="H620" t="s">
        <v>85</v>
      </c>
      <c r="I620">
        <v>7</v>
      </c>
      <c r="J620">
        <v>30</v>
      </c>
      <c r="K620">
        <v>3.3</v>
      </c>
      <c r="M620" s="1">
        <v>0.68</v>
      </c>
    </row>
    <row r="621" spans="1:13" x14ac:dyDescent="0.3">
      <c r="A621" t="s">
        <v>1313</v>
      </c>
      <c r="B621" t="s">
        <v>1314</v>
      </c>
      <c r="C621" t="str">
        <f t="shared" si="15"/>
        <v>Nicole Taylor</v>
      </c>
      <c r="D621" t="s">
        <v>37</v>
      </c>
      <c r="E621">
        <v>43</v>
      </c>
      <c r="F621" t="s">
        <v>20</v>
      </c>
      <c r="G621" t="s">
        <v>21</v>
      </c>
      <c r="H621" t="s">
        <v>34</v>
      </c>
      <c r="I621">
        <v>13</v>
      </c>
      <c r="J621" s="2">
        <v>100</v>
      </c>
      <c r="K621">
        <v>1.4</v>
      </c>
      <c r="L621">
        <v>1</v>
      </c>
      <c r="M621" s="1">
        <v>0.97</v>
      </c>
    </row>
    <row r="622" spans="1:13" x14ac:dyDescent="0.3">
      <c r="A622" t="s">
        <v>1315</v>
      </c>
      <c r="B622" t="s">
        <v>1316</v>
      </c>
      <c r="C622" t="str">
        <f t="shared" si="15"/>
        <v>Casey Bush</v>
      </c>
      <c r="D622" t="s">
        <v>93</v>
      </c>
      <c r="E622">
        <v>22</v>
      </c>
      <c r="F622" t="s">
        <v>134</v>
      </c>
      <c r="G622" t="s">
        <v>135</v>
      </c>
      <c r="H622" t="s">
        <v>69</v>
      </c>
      <c r="I622">
        <v>2</v>
      </c>
      <c r="J622" s="2">
        <v>75</v>
      </c>
      <c r="K622">
        <v>1.7</v>
      </c>
      <c r="L622" t="s">
        <v>154</v>
      </c>
      <c r="M622" s="1">
        <v>0.91</v>
      </c>
    </row>
    <row r="623" spans="1:13" x14ac:dyDescent="0.3">
      <c r="A623" t="s">
        <v>1317</v>
      </c>
      <c r="B623" t="s">
        <v>1318</v>
      </c>
      <c r="C623" t="str">
        <f t="shared" si="15"/>
        <v>Samuel Patterson</v>
      </c>
      <c r="D623" t="s">
        <v>88</v>
      </c>
      <c r="E623">
        <v>57</v>
      </c>
      <c r="F623" t="s">
        <v>173</v>
      </c>
      <c r="G623" t="s">
        <v>68</v>
      </c>
      <c r="H623" t="s">
        <v>110</v>
      </c>
      <c r="I623">
        <v>37</v>
      </c>
      <c r="J623">
        <v>30</v>
      </c>
      <c r="K623">
        <v>4.8</v>
      </c>
      <c r="L623" t="b">
        <v>0</v>
      </c>
    </row>
    <row r="624" spans="1:13" x14ac:dyDescent="0.3">
      <c r="A624" t="s">
        <v>1319</v>
      </c>
      <c r="B624" t="s">
        <v>1320</v>
      </c>
      <c r="C624" t="str">
        <f t="shared" si="15"/>
        <v>Craig Dennis</v>
      </c>
      <c r="D624" t="s">
        <v>58</v>
      </c>
      <c r="E624">
        <v>44</v>
      </c>
      <c r="F624" t="s">
        <v>63</v>
      </c>
      <c r="G624" t="s">
        <v>21</v>
      </c>
      <c r="H624" t="s">
        <v>29</v>
      </c>
      <c r="I624">
        <v>1</v>
      </c>
      <c r="K624">
        <v>4.8</v>
      </c>
      <c r="L624" t="s">
        <v>30</v>
      </c>
      <c r="M624" s="1">
        <v>0.97</v>
      </c>
    </row>
    <row r="625" spans="1:13" x14ac:dyDescent="0.3">
      <c r="A625" t="s">
        <v>1321</v>
      </c>
      <c r="B625" t="s">
        <v>1322</v>
      </c>
      <c r="C625" t="str">
        <f t="shared" si="15"/>
        <v>Heidi Dixon</v>
      </c>
      <c r="D625" t="s">
        <v>37</v>
      </c>
      <c r="E625">
        <v>46</v>
      </c>
      <c r="F625" t="s">
        <v>169</v>
      </c>
      <c r="G625" t="s">
        <v>170</v>
      </c>
      <c r="H625" t="s">
        <v>85</v>
      </c>
      <c r="I625">
        <v>5</v>
      </c>
      <c r="J625" t="s">
        <v>105</v>
      </c>
      <c r="K625">
        <v>2</v>
      </c>
      <c r="L625" t="s">
        <v>64</v>
      </c>
      <c r="M625" s="1">
        <v>0.64</v>
      </c>
    </row>
    <row r="626" spans="1:13" x14ac:dyDescent="0.3">
      <c r="A626" t="s">
        <v>1323</v>
      </c>
      <c r="B626" t="s">
        <v>1324</v>
      </c>
      <c r="C626" t="str">
        <f t="shared" si="15"/>
        <v>David Bishop</v>
      </c>
      <c r="D626" t="s">
        <v>93</v>
      </c>
      <c r="F626" t="s">
        <v>184</v>
      </c>
      <c r="G626" t="s">
        <v>68</v>
      </c>
      <c r="H626" t="s">
        <v>16</v>
      </c>
      <c r="I626">
        <v>1</v>
      </c>
      <c r="J626" t="s">
        <v>94</v>
      </c>
      <c r="K626">
        <v>2.8</v>
      </c>
      <c r="L626" t="s">
        <v>154</v>
      </c>
      <c r="M626" s="1">
        <v>0.87</v>
      </c>
    </row>
    <row r="627" spans="1:13" x14ac:dyDescent="0.3">
      <c r="A627" t="s">
        <v>1325</v>
      </c>
      <c r="B627" t="s">
        <v>1326</v>
      </c>
      <c r="C627" t="str">
        <f t="shared" si="15"/>
        <v>Laura Butler</v>
      </c>
      <c r="D627" t="s">
        <v>73</v>
      </c>
      <c r="E627">
        <v>34</v>
      </c>
      <c r="F627" t="s">
        <v>20</v>
      </c>
      <c r="G627" t="s">
        <v>21</v>
      </c>
      <c r="H627" t="s">
        <v>48</v>
      </c>
      <c r="I627">
        <v>2</v>
      </c>
      <c r="J627">
        <v>100</v>
      </c>
      <c r="K627">
        <v>0</v>
      </c>
      <c r="L627">
        <v>0</v>
      </c>
      <c r="M627">
        <v>86</v>
      </c>
    </row>
    <row r="628" spans="1:13" x14ac:dyDescent="0.3">
      <c r="A628" t="s">
        <v>1327</v>
      </c>
      <c r="B628" t="s">
        <v>1328</v>
      </c>
      <c r="C628" t="str">
        <f t="shared" si="15"/>
        <v>Denise Erickson</v>
      </c>
      <c r="D628" t="s">
        <v>33</v>
      </c>
      <c r="E628">
        <v>46</v>
      </c>
      <c r="F628" t="s">
        <v>14</v>
      </c>
      <c r="G628" t="s">
        <v>15</v>
      </c>
      <c r="H628" t="s">
        <v>22</v>
      </c>
      <c r="J628" s="2">
        <v>100</v>
      </c>
      <c r="K628">
        <v>4.4000000000000004</v>
      </c>
      <c r="L628">
        <v>1</v>
      </c>
      <c r="M628">
        <v>97</v>
      </c>
    </row>
    <row r="629" spans="1:13" x14ac:dyDescent="0.3">
      <c r="A629" t="s">
        <v>1329</v>
      </c>
      <c r="B629" t="s">
        <v>1330</v>
      </c>
      <c r="C629" t="str">
        <f t="shared" si="15"/>
        <v>Nicole Austin</v>
      </c>
      <c r="D629" t="s">
        <v>13</v>
      </c>
      <c r="E629">
        <v>22</v>
      </c>
      <c r="F629" t="s">
        <v>130</v>
      </c>
      <c r="G629" t="s">
        <v>131</v>
      </c>
      <c r="H629" t="s">
        <v>16</v>
      </c>
      <c r="I629">
        <v>0</v>
      </c>
      <c r="J629" t="s">
        <v>105</v>
      </c>
      <c r="K629">
        <v>4.9000000000000004</v>
      </c>
      <c r="L629" t="b">
        <v>0</v>
      </c>
      <c r="M629" s="1">
        <v>0.73</v>
      </c>
    </row>
    <row r="630" spans="1:13" x14ac:dyDescent="0.3">
      <c r="A630" t="s">
        <v>1331</v>
      </c>
      <c r="B630" t="s">
        <v>1332</v>
      </c>
      <c r="C630" t="str">
        <f t="shared" si="15"/>
        <v>Summer Williams</v>
      </c>
      <c r="D630" t="s">
        <v>37</v>
      </c>
      <c r="E630">
        <v>23</v>
      </c>
      <c r="F630" t="s">
        <v>148</v>
      </c>
      <c r="G630" t="s">
        <v>149</v>
      </c>
      <c r="H630" t="s">
        <v>42</v>
      </c>
      <c r="I630">
        <v>0</v>
      </c>
      <c r="J630" t="s">
        <v>49</v>
      </c>
      <c r="K630">
        <v>2.2999999999999998</v>
      </c>
      <c r="M630" s="1">
        <v>0.6</v>
      </c>
    </row>
    <row r="631" spans="1:13" x14ac:dyDescent="0.3">
      <c r="A631" t="s">
        <v>1333</v>
      </c>
      <c r="B631" t="s">
        <v>1334</v>
      </c>
      <c r="C631" t="str">
        <f t="shared" si="15"/>
        <v>Angela Blackwell</v>
      </c>
      <c r="D631" t="s">
        <v>33</v>
      </c>
      <c r="E631">
        <v>60</v>
      </c>
      <c r="F631" t="s">
        <v>59</v>
      </c>
      <c r="G631" t="s">
        <v>60</v>
      </c>
      <c r="H631" t="s">
        <v>34</v>
      </c>
      <c r="I631">
        <v>41</v>
      </c>
      <c r="J631" s="2">
        <v>40</v>
      </c>
      <c r="K631">
        <v>4.9000000000000004</v>
      </c>
      <c r="L631">
        <v>1</v>
      </c>
      <c r="M631">
        <v>66</v>
      </c>
    </row>
    <row r="632" spans="1:13" x14ac:dyDescent="0.3">
      <c r="A632" t="s">
        <v>1335</v>
      </c>
      <c r="B632" t="s">
        <v>1336</v>
      </c>
      <c r="C632" t="str">
        <f t="shared" si="15"/>
        <v>Thomas Wall</v>
      </c>
      <c r="D632" t="s">
        <v>45</v>
      </c>
      <c r="E632">
        <v>20</v>
      </c>
      <c r="F632" t="s">
        <v>123</v>
      </c>
      <c r="G632" t="s">
        <v>21</v>
      </c>
      <c r="H632" t="s">
        <v>85</v>
      </c>
      <c r="J632" s="2">
        <v>75</v>
      </c>
      <c r="K632">
        <v>4.3</v>
      </c>
      <c r="L632">
        <v>0</v>
      </c>
      <c r="M632" s="1">
        <v>0.9</v>
      </c>
    </row>
    <row r="633" spans="1:13" x14ac:dyDescent="0.3">
      <c r="A633" t="s">
        <v>1337</v>
      </c>
      <c r="B633" t="s">
        <v>1338</v>
      </c>
      <c r="C633" t="str">
        <f t="shared" si="15"/>
        <v>Sarah Anderson</v>
      </c>
      <c r="D633" t="s">
        <v>13</v>
      </c>
      <c r="E633">
        <v>41</v>
      </c>
      <c r="F633" t="s">
        <v>108</v>
      </c>
      <c r="G633" t="s">
        <v>109</v>
      </c>
      <c r="H633" t="s">
        <v>69</v>
      </c>
      <c r="I633">
        <v>23</v>
      </c>
      <c r="J633" s="2">
        <v>75</v>
      </c>
      <c r="K633">
        <v>1.4</v>
      </c>
      <c r="L633">
        <v>0</v>
      </c>
    </row>
    <row r="634" spans="1:13" x14ac:dyDescent="0.3">
      <c r="A634" t="s">
        <v>1339</v>
      </c>
      <c r="B634" t="s">
        <v>1340</v>
      </c>
      <c r="C634" t="str">
        <f t="shared" si="15"/>
        <v>Christian Lane</v>
      </c>
      <c r="D634" t="s">
        <v>45</v>
      </c>
      <c r="E634">
        <v>24</v>
      </c>
      <c r="F634" t="s">
        <v>130</v>
      </c>
      <c r="G634" t="s">
        <v>131</v>
      </c>
      <c r="H634" t="s">
        <v>22</v>
      </c>
      <c r="I634">
        <v>0</v>
      </c>
      <c r="J634">
        <v>100</v>
      </c>
      <c r="L634" t="s">
        <v>154</v>
      </c>
    </row>
    <row r="635" spans="1:13" x14ac:dyDescent="0.3">
      <c r="A635" t="s">
        <v>1341</v>
      </c>
      <c r="B635" t="s">
        <v>1342</v>
      </c>
      <c r="C635" t="str">
        <f t="shared" si="15"/>
        <v>Todd Casey</v>
      </c>
      <c r="D635" t="s">
        <v>45</v>
      </c>
      <c r="E635">
        <v>44</v>
      </c>
      <c r="F635" t="s">
        <v>40</v>
      </c>
      <c r="G635" t="s">
        <v>41</v>
      </c>
      <c r="H635" t="s">
        <v>110</v>
      </c>
      <c r="I635">
        <v>4</v>
      </c>
      <c r="K635">
        <v>1.3</v>
      </c>
      <c r="L635" t="s">
        <v>64</v>
      </c>
      <c r="M635">
        <v>77</v>
      </c>
    </row>
    <row r="636" spans="1:13" x14ac:dyDescent="0.3">
      <c r="A636" t="s">
        <v>1343</v>
      </c>
      <c r="B636" t="s">
        <v>1344</v>
      </c>
      <c r="C636" t="str">
        <f t="shared" si="15"/>
        <v>David Martinez</v>
      </c>
      <c r="D636" t="s">
        <v>58</v>
      </c>
      <c r="E636">
        <v>52</v>
      </c>
      <c r="F636" t="s">
        <v>169</v>
      </c>
      <c r="G636" t="s">
        <v>170</v>
      </c>
      <c r="H636" t="s">
        <v>69</v>
      </c>
      <c r="I636">
        <v>4</v>
      </c>
      <c r="J636">
        <v>75</v>
      </c>
      <c r="K636">
        <v>2.2999999999999998</v>
      </c>
      <c r="L636">
        <v>1</v>
      </c>
      <c r="M636" s="1">
        <v>0.79</v>
      </c>
    </row>
    <row r="637" spans="1:13" x14ac:dyDescent="0.3">
      <c r="A637" t="s">
        <v>1345</v>
      </c>
      <c r="B637" t="s">
        <v>1346</v>
      </c>
      <c r="C637" t="str">
        <f t="shared" si="15"/>
        <v>Donald Salas</v>
      </c>
      <c r="D637" t="s">
        <v>88</v>
      </c>
      <c r="E637">
        <v>35</v>
      </c>
      <c r="F637" t="s">
        <v>184</v>
      </c>
      <c r="G637" t="s">
        <v>68</v>
      </c>
      <c r="H637" t="s">
        <v>110</v>
      </c>
      <c r="I637">
        <v>13</v>
      </c>
      <c r="J637">
        <v>40</v>
      </c>
      <c r="K637">
        <v>3.6</v>
      </c>
      <c r="L637">
        <v>0</v>
      </c>
      <c r="M637" s="1">
        <v>0.83</v>
      </c>
    </row>
    <row r="638" spans="1:13" x14ac:dyDescent="0.3">
      <c r="A638" t="s">
        <v>1347</v>
      </c>
      <c r="B638" t="s">
        <v>1348</v>
      </c>
      <c r="C638" t="str">
        <f t="shared" si="15"/>
        <v>Emma Hicks</v>
      </c>
      <c r="D638" t="s">
        <v>73</v>
      </c>
      <c r="E638">
        <v>24</v>
      </c>
      <c r="F638" t="s">
        <v>40</v>
      </c>
      <c r="G638" t="s">
        <v>41</v>
      </c>
      <c r="H638" t="s">
        <v>85</v>
      </c>
      <c r="I638">
        <v>2</v>
      </c>
      <c r="J638" s="2">
        <v>50</v>
      </c>
      <c r="L638" t="s">
        <v>30</v>
      </c>
      <c r="M638" s="1">
        <v>0.64</v>
      </c>
    </row>
    <row r="639" spans="1:13" x14ac:dyDescent="0.3">
      <c r="A639" t="s">
        <v>1349</v>
      </c>
      <c r="B639" t="s">
        <v>1350</v>
      </c>
      <c r="C639" t="str">
        <f t="shared" si="15"/>
        <v>Alison Clark</v>
      </c>
      <c r="D639" t="s">
        <v>19</v>
      </c>
      <c r="E639">
        <v>46</v>
      </c>
      <c r="F639" t="s">
        <v>20</v>
      </c>
      <c r="G639" t="s">
        <v>21</v>
      </c>
      <c r="H639" t="s">
        <v>74</v>
      </c>
      <c r="I639">
        <v>25</v>
      </c>
      <c r="J639" s="2">
        <v>100</v>
      </c>
      <c r="K639">
        <v>1.3</v>
      </c>
      <c r="L639" t="s">
        <v>154</v>
      </c>
      <c r="M639" s="1">
        <v>0.8</v>
      </c>
    </row>
    <row r="640" spans="1:13" x14ac:dyDescent="0.3">
      <c r="A640" t="s">
        <v>1351</v>
      </c>
      <c r="B640" t="s">
        <v>1352</v>
      </c>
      <c r="C640" t="str">
        <f t="shared" si="15"/>
        <v>Andrew Barnes</v>
      </c>
      <c r="D640" t="s">
        <v>88</v>
      </c>
      <c r="E640">
        <v>57</v>
      </c>
      <c r="F640" t="s">
        <v>173</v>
      </c>
      <c r="G640" t="s">
        <v>68</v>
      </c>
      <c r="H640" t="s">
        <v>22</v>
      </c>
      <c r="I640">
        <v>18</v>
      </c>
      <c r="J640" t="s">
        <v>105</v>
      </c>
      <c r="K640">
        <v>1.1000000000000001</v>
      </c>
      <c r="L640" t="b">
        <v>0</v>
      </c>
      <c r="M640" s="1">
        <v>0.9</v>
      </c>
    </row>
    <row r="641" spans="1:13" x14ac:dyDescent="0.3">
      <c r="A641" t="s">
        <v>1353</v>
      </c>
      <c r="B641" t="s">
        <v>1354</v>
      </c>
      <c r="C641" t="str">
        <f t="shared" si="15"/>
        <v>Gina Snyder</v>
      </c>
      <c r="D641" t="s">
        <v>33</v>
      </c>
      <c r="E641">
        <v>49</v>
      </c>
      <c r="F641" t="s">
        <v>173</v>
      </c>
      <c r="G641" t="s">
        <v>68</v>
      </c>
      <c r="H641" t="s">
        <v>34</v>
      </c>
      <c r="I641">
        <v>24</v>
      </c>
      <c r="J641" s="2">
        <v>50</v>
      </c>
      <c r="K641">
        <v>0</v>
      </c>
      <c r="L641">
        <v>0</v>
      </c>
      <c r="M641" s="1">
        <v>0.94</v>
      </c>
    </row>
    <row r="642" spans="1:13" x14ac:dyDescent="0.3">
      <c r="A642" t="s">
        <v>1355</v>
      </c>
      <c r="B642" t="s">
        <v>1356</v>
      </c>
      <c r="C642" t="str">
        <f t="shared" si="15"/>
        <v>David Watson</v>
      </c>
      <c r="D642" t="s">
        <v>58</v>
      </c>
      <c r="E642">
        <v>41</v>
      </c>
      <c r="F642" t="s">
        <v>81</v>
      </c>
      <c r="G642" t="s">
        <v>82</v>
      </c>
      <c r="H642" t="s">
        <v>42</v>
      </c>
      <c r="I642">
        <v>7</v>
      </c>
      <c r="J642">
        <v>40</v>
      </c>
      <c r="K642">
        <v>1.8</v>
      </c>
      <c r="L642" t="b">
        <v>0</v>
      </c>
      <c r="M642" s="1">
        <v>0.7</v>
      </c>
    </row>
    <row r="643" spans="1:13" x14ac:dyDescent="0.3">
      <c r="A643" t="s">
        <v>1357</v>
      </c>
      <c r="B643" t="s">
        <v>1358</v>
      </c>
      <c r="C643" t="str">
        <f t="shared" si="15"/>
        <v>John Davis</v>
      </c>
      <c r="D643" t="s">
        <v>26</v>
      </c>
      <c r="E643">
        <v>22</v>
      </c>
      <c r="F643" t="s">
        <v>173</v>
      </c>
      <c r="G643" t="s">
        <v>68</v>
      </c>
      <c r="H643" t="s">
        <v>110</v>
      </c>
      <c r="I643">
        <v>1</v>
      </c>
      <c r="J643" t="s">
        <v>307</v>
      </c>
      <c r="L643" t="s">
        <v>64</v>
      </c>
      <c r="M643" s="1">
        <v>0.75</v>
      </c>
    </row>
    <row r="644" spans="1:13" x14ac:dyDescent="0.3">
      <c r="A644" t="s">
        <v>1359</v>
      </c>
      <c r="B644" t="s">
        <v>1360</v>
      </c>
      <c r="C644" t="str">
        <f t="shared" si="15"/>
        <v>Joseph Thomas</v>
      </c>
      <c r="D644" t="s">
        <v>26</v>
      </c>
      <c r="E644">
        <v>50</v>
      </c>
      <c r="F644" t="s">
        <v>20</v>
      </c>
      <c r="G644" t="s">
        <v>21</v>
      </c>
      <c r="H644" t="s">
        <v>16</v>
      </c>
      <c r="I644">
        <v>17</v>
      </c>
      <c r="J644">
        <v>75</v>
      </c>
      <c r="K644">
        <v>3.3</v>
      </c>
      <c r="L644">
        <v>1</v>
      </c>
      <c r="M644" s="1">
        <v>0.69</v>
      </c>
    </row>
    <row r="645" spans="1:13" x14ac:dyDescent="0.3">
      <c r="A645" t="s">
        <v>1361</v>
      </c>
      <c r="B645" t="s">
        <v>1362</v>
      </c>
      <c r="C645" t="str">
        <f t="shared" si="15"/>
        <v>Dean Finley</v>
      </c>
      <c r="D645" t="s">
        <v>26</v>
      </c>
      <c r="E645">
        <v>57</v>
      </c>
      <c r="F645" t="s">
        <v>27</v>
      </c>
      <c r="G645" t="s">
        <v>28</v>
      </c>
      <c r="H645" t="s">
        <v>29</v>
      </c>
      <c r="I645">
        <v>4</v>
      </c>
      <c r="J645" t="s">
        <v>105</v>
      </c>
      <c r="K645">
        <v>4.2</v>
      </c>
      <c r="L645">
        <v>0</v>
      </c>
    </row>
    <row r="646" spans="1:13" x14ac:dyDescent="0.3">
      <c r="A646" t="s">
        <v>1363</v>
      </c>
      <c r="B646" t="s">
        <v>1364</v>
      </c>
      <c r="C646" t="str">
        <f t="shared" si="15"/>
        <v>Ashley Kemp</v>
      </c>
      <c r="D646" t="s">
        <v>19</v>
      </c>
      <c r="E646">
        <v>47</v>
      </c>
      <c r="F646" t="s">
        <v>173</v>
      </c>
      <c r="G646" t="s">
        <v>68</v>
      </c>
      <c r="H646" t="s">
        <v>42</v>
      </c>
      <c r="I646">
        <v>29</v>
      </c>
      <c r="J646" s="2">
        <v>50</v>
      </c>
      <c r="L646">
        <v>1</v>
      </c>
      <c r="M646" s="1">
        <v>0.79</v>
      </c>
    </row>
    <row r="647" spans="1:13" x14ac:dyDescent="0.3">
      <c r="A647" t="s">
        <v>1365</v>
      </c>
      <c r="B647" t="s">
        <v>1366</v>
      </c>
      <c r="C647" t="str">
        <f t="shared" si="15"/>
        <v>Kenneth Evans</v>
      </c>
      <c r="D647" t="s">
        <v>88</v>
      </c>
      <c r="E647">
        <v>24</v>
      </c>
      <c r="F647" t="s">
        <v>148</v>
      </c>
      <c r="G647" t="s">
        <v>149</v>
      </c>
      <c r="H647" t="s">
        <v>48</v>
      </c>
      <c r="I647">
        <v>2</v>
      </c>
      <c r="J647" s="2">
        <v>100</v>
      </c>
      <c r="K647">
        <v>3.8</v>
      </c>
      <c r="L647">
        <v>1</v>
      </c>
      <c r="M647" s="1">
        <v>0.71</v>
      </c>
    </row>
    <row r="648" spans="1:13" x14ac:dyDescent="0.3">
      <c r="A648" t="s">
        <v>1367</v>
      </c>
      <c r="B648" t="s">
        <v>1368</v>
      </c>
      <c r="C648" t="str">
        <f t="shared" si="15"/>
        <v>Brandon Newman</v>
      </c>
      <c r="D648" t="s">
        <v>26</v>
      </c>
      <c r="F648" t="s">
        <v>89</v>
      </c>
      <c r="G648" t="s">
        <v>90</v>
      </c>
      <c r="H648" t="s">
        <v>74</v>
      </c>
      <c r="I648">
        <v>9</v>
      </c>
      <c r="J648">
        <v>100</v>
      </c>
      <c r="K648">
        <v>4.8</v>
      </c>
      <c r="L648" t="s">
        <v>70</v>
      </c>
      <c r="M648" s="1">
        <v>0.72</v>
      </c>
    </row>
    <row r="649" spans="1:13" x14ac:dyDescent="0.3">
      <c r="A649" t="s">
        <v>1369</v>
      </c>
      <c r="B649" t="s">
        <v>1370</v>
      </c>
      <c r="C649" t="str">
        <f t="shared" si="15"/>
        <v>Katie Hensley</v>
      </c>
      <c r="D649" t="s">
        <v>19</v>
      </c>
      <c r="E649">
        <v>50</v>
      </c>
      <c r="F649" t="s">
        <v>27</v>
      </c>
      <c r="G649" t="s">
        <v>28</v>
      </c>
      <c r="H649" t="s">
        <v>85</v>
      </c>
      <c r="I649">
        <v>10</v>
      </c>
      <c r="J649" s="2">
        <v>100</v>
      </c>
      <c r="K649">
        <v>4.3</v>
      </c>
      <c r="L649" t="s">
        <v>30</v>
      </c>
      <c r="M649" s="1">
        <v>0.93</v>
      </c>
    </row>
    <row r="650" spans="1:13" x14ac:dyDescent="0.3">
      <c r="A650" t="s">
        <v>1371</v>
      </c>
      <c r="B650" t="s">
        <v>1372</v>
      </c>
      <c r="C650" t="str">
        <f t="shared" si="15"/>
        <v>Joel Randolph</v>
      </c>
      <c r="D650" t="s">
        <v>88</v>
      </c>
      <c r="E650">
        <v>46</v>
      </c>
      <c r="F650" t="s">
        <v>103</v>
      </c>
      <c r="G650" t="s">
        <v>104</v>
      </c>
      <c r="H650" t="s">
        <v>110</v>
      </c>
      <c r="I650">
        <v>20</v>
      </c>
      <c r="K650">
        <v>4.8</v>
      </c>
      <c r="L650">
        <v>1</v>
      </c>
      <c r="M650" s="1">
        <v>0.82</v>
      </c>
    </row>
    <row r="651" spans="1:13" x14ac:dyDescent="0.3">
      <c r="A651" t="s">
        <v>1373</v>
      </c>
      <c r="B651" t="s">
        <v>1374</v>
      </c>
      <c r="C651" t="str">
        <f t="shared" si="15"/>
        <v>Andrew Scott</v>
      </c>
      <c r="D651" t="s">
        <v>26</v>
      </c>
      <c r="E651">
        <v>51</v>
      </c>
      <c r="F651" t="s">
        <v>20</v>
      </c>
      <c r="G651" t="s">
        <v>21</v>
      </c>
      <c r="H651" t="s">
        <v>74</v>
      </c>
      <c r="I651">
        <v>9</v>
      </c>
      <c r="J651" s="2">
        <v>40</v>
      </c>
      <c r="L651" t="s">
        <v>30</v>
      </c>
      <c r="M651">
        <v>60</v>
      </c>
    </row>
    <row r="652" spans="1:13" x14ac:dyDescent="0.3">
      <c r="A652" t="s">
        <v>1375</v>
      </c>
      <c r="B652" t="s">
        <v>1376</v>
      </c>
      <c r="C652" t="str">
        <f t="shared" si="15"/>
        <v>Zachary Ochoa</v>
      </c>
      <c r="D652" t="s">
        <v>58</v>
      </c>
      <c r="E652">
        <v>51</v>
      </c>
      <c r="F652" t="s">
        <v>63</v>
      </c>
      <c r="G652" t="s">
        <v>21</v>
      </c>
      <c r="H652" t="s">
        <v>42</v>
      </c>
      <c r="I652">
        <v>12</v>
      </c>
      <c r="J652">
        <v>20</v>
      </c>
      <c r="K652">
        <v>4</v>
      </c>
      <c r="L652">
        <v>0</v>
      </c>
      <c r="M652">
        <v>93</v>
      </c>
    </row>
    <row r="653" spans="1:13" x14ac:dyDescent="0.3">
      <c r="A653" t="s">
        <v>1377</v>
      </c>
      <c r="B653" t="s">
        <v>1378</v>
      </c>
      <c r="C653" t="str">
        <f t="shared" si="15"/>
        <v>John Arroyo</v>
      </c>
      <c r="D653" t="s">
        <v>45</v>
      </c>
      <c r="E653">
        <v>27</v>
      </c>
      <c r="F653" t="s">
        <v>63</v>
      </c>
      <c r="G653" t="s">
        <v>21</v>
      </c>
      <c r="H653" t="s">
        <v>42</v>
      </c>
      <c r="I653">
        <v>3</v>
      </c>
      <c r="J653" t="s">
        <v>94</v>
      </c>
      <c r="L653" t="b">
        <v>0</v>
      </c>
    </row>
    <row r="654" spans="1:13" x14ac:dyDescent="0.3">
      <c r="A654" t="s">
        <v>1379</v>
      </c>
      <c r="B654" t="s">
        <v>1380</v>
      </c>
      <c r="C654" t="str">
        <f t="shared" si="15"/>
        <v>Matthew Fernandez</v>
      </c>
      <c r="D654" t="s">
        <v>58</v>
      </c>
      <c r="E654">
        <v>42</v>
      </c>
      <c r="F654" t="s">
        <v>184</v>
      </c>
      <c r="G654" t="s">
        <v>68</v>
      </c>
      <c r="H654" t="s">
        <v>34</v>
      </c>
      <c r="I654">
        <v>13</v>
      </c>
      <c r="J654">
        <v>30</v>
      </c>
      <c r="K654">
        <v>0</v>
      </c>
      <c r="L654" t="b">
        <v>0</v>
      </c>
      <c r="M654" s="1">
        <v>0.74</v>
      </c>
    </row>
    <row r="655" spans="1:13" x14ac:dyDescent="0.3">
      <c r="A655" t="s">
        <v>1381</v>
      </c>
      <c r="B655" t="s">
        <v>1382</v>
      </c>
      <c r="C655" t="str">
        <f t="shared" si="15"/>
        <v>Benjamin Stark</v>
      </c>
      <c r="D655" t="s">
        <v>58</v>
      </c>
      <c r="E655">
        <v>25</v>
      </c>
      <c r="F655" t="s">
        <v>27</v>
      </c>
      <c r="G655" t="s">
        <v>28</v>
      </c>
      <c r="H655" t="s">
        <v>69</v>
      </c>
      <c r="I655">
        <v>4</v>
      </c>
      <c r="J655" s="2">
        <v>40</v>
      </c>
      <c r="K655">
        <v>2.2999999999999998</v>
      </c>
      <c r="L655" t="s">
        <v>64</v>
      </c>
      <c r="M655">
        <v>73</v>
      </c>
    </row>
    <row r="656" spans="1:13" x14ac:dyDescent="0.3">
      <c r="A656" t="s">
        <v>1383</v>
      </c>
      <c r="B656" t="s">
        <v>1384</v>
      </c>
      <c r="C656" t="str">
        <f t="shared" si="15"/>
        <v>Tammy Greer</v>
      </c>
      <c r="D656" t="s">
        <v>73</v>
      </c>
      <c r="E656">
        <v>32</v>
      </c>
      <c r="F656" t="s">
        <v>27</v>
      </c>
      <c r="G656" t="s">
        <v>28</v>
      </c>
      <c r="H656" t="s">
        <v>48</v>
      </c>
      <c r="I656">
        <v>9</v>
      </c>
      <c r="J656">
        <v>75</v>
      </c>
      <c r="L656" t="s">
        <v>30</v>
      </c>
      <c r="M656" s="1">
        <v>0.96</v>
      </c>
    </row>
    <row r="657" spans="1:13" x14ac:dyDescent="0.3">
      <c r="A657" t="s">
        <v>1385</v>
      </c>
      <c r="B657" t="s">
        <v>1386</v>
      </c>
      <c r="C657" t="str">
        <f t="shared" si="15"/>
        <v>Cynthia Mckinney</v>
      </c>
      <c r="D657" t="s">
        <v>37</v>
      </c>
      <c r="E657">
        <v>59</v>
      </c>
      <c r="F657" t="s">
        <v>123</v>
      </c>
      <c r="G657" t="s">
        <v>21</v>
      </c>
      <c r="H657" t="s">
        <v>29</v>
      </c>
      <c r="I657">
        <v>14</v>
      </c>
      <c r="J657">
        <v>30</v>
      </c>
      <c r="K657">
        <v>3.8</v>
      </c>
      <c r="M657" s="1">
        <v>0.66</v>
      </c>
    </row>
    <row r="658" spans="1:13" x14ac:dyDescent="0.3">
      <c r="A658" t="s">
        <v>1387</v>
      </c>
      <c r="B658" t="s">
        <v>1388</v>
      </c>
      <c r="C658" t="str">
        <f t="shared" si="15"/>
        <v>Wendy Rice</v>
      </c>
      <c r="D658" t="s">
        <v>19</v>
      </c>
      <c r="E658">
        <v>59</v>
      </c>
      <c r="F658" t="s">
        <v>130</v>
      </c>
      <c r="G658" t="s">
        <v>131</v>
      </c>
      <c r="H658" t="s">
        <v>74</v>
      </c>
      <c r="I658">
        <v>37</v>
      </c>
      <c r="J658">
        <v>30</v>
      </c>
      <c r="K658">
        <v>4</v>
      </c>
      <c r="L658" t="b">
        <v>0</v>
      </c>
      <c r="M658" s="1">
        <v>0.62</v>
      </c>
    </row>
    <row r="659" spans="1:13" x14ac:dyDescent="0.3">
      <c r="A659" t="s">
        <v>1389</v>
      </c>
      <c r="B659" t="s">
        <v>1390</v>
      </c>
      <c r="C659" t="str">
        <f t="shared" si="15"/>
        <v>Randy Bender</v>
      </c>
      <c r="D659" t="s">
        <v>93</v>
      </c>
      <c r="E659">
        <v>29</v>
      </c>
      <c r="F659" t="s">
        <v>27</v>
      </c>
      <c r="G659" t="s">
        <v>28</v>
      </c>
      <c r="H659" t="s">
        <v>29</v>
      </c>
      <c r="I659">
        <v>2</v>
      </c>
      <c r="J659" t="s">
        <v>49</v>
      </c>
      <c r="K659">
        <v>2.2000000000000002</v>
      </c>
      <c r="L659" t="s">
        <v>70</v>
      </c>
      <c r="M659" s="1">
        <v>0.85</v>
      </c>
    </row>
    <row r="660" spans="1:13" x14ac:dyDescent="0.3">
      <c r="A660" t="s">
        <v>1391</v>
      </c>
      <c r="B660" t="s">
        <v>1392</v>
      </c>
      <c r="C660" t="str">
        <f t="shared" si="15"/>
        <v>Richard Dominguez</v>
      </c>
      <c r="D660" t="s">
        <v>58</v>
      </c>
      <c r="E660">
        <v>58</v>
      </c>
      <c r="F660" t="s">
        <v>169</v>
      </c>
      <c r="G660" t="s">
        <v>170</v>
      </c>
      <c r="H660" t="s">
        <v>42</v>
      </c>
      <c r="I660">
        <v>11</v>
      </c>
      <c r="J660">
        <v>100</v>
      </c>
      <c r="K660">
        <v>4.3</v>
      </c>
      <c r="L660">
        <v>0</v>
      </c>
      <c r="M660" s="1">
        <v>0.66</v>
      </c>
    </row>
    <row r="661" spans="1:13" x14ac:dyDescent="0.3">
      <c r="A661" t="s">
        <v>1393</v>
      </c>
      <c r="B661" t="s">
        <v>1394</v>
      </c>
      <c r="C661" t="str">
        <f t="shared" si="15"/>
        <v>Melissa Maldonado</v>
      </c>
      <c r="D661" t="s">
        <v>13</v>
      </c>
      <c r="E661">
        <v>56</v>
      </c>
      <c r="F661" t="s">
        <v>123</v>
      </c>
      <c r="G661" t="s">
        <v>21</v>
      </c>
      <c r="H661" t="s">
        <v>74</v>
      </c>
      <c r="I661">
        <v>19</v>
      </c>
      <c r="J661">
        <v>20</v>
      </c>
      <c r="K661">
        <v>0</v>
      </c>
      <c r="L661">
        <v>0</v>
      </c>
      <c r="M661" s="1">
        <v>0.87</v>
      </c>
    </row>
    <row r="662" spans="1:13" x14ac:dyDescent="0.3">
      <c r="A662" t="s">
        <v>1395</v>
      </c>
      <c r="B662" t="s">
        <v>1396</v>
      </c>
      <c r="C662" t="str">
        <f t="shared" si="15"/>
        <v>Leah Harris</v>
      </c>
      <c r="D662" t="s">
        <v>33</v>
      </c>
      <c r="E662">
        <v>36</v>
      </c>
      <c r="F662" t="s">
        <v>55</v>
      </c>
      <c r="G662" t="s">
        <v>21</v>
      </c>
      <c r="H662" t="s">
        <v>110</v>
      </c>
      <c r="I662">
        <v>9</v>
      </c>
      <c r="J662">
        <v>20</v>
      </c>
      <c r="K662">
        <v>0</v>
      </c>
      <c r="L662">
        <v>1</v>
      </c>
      <c r="M662">
        <v>68</v>
      </c>
    </row>
    <row r="663" spans="1:13" x14ac:dyDescent="0.3">
      <c r="A663" t="s">
        <v>1397</v>
      </c>
      <c r="B663" t="s">
        <v>1398</v>
      </c>
      <c r="C663" t="str">
        <f t="shared" si="15"/>
        <v>Lynn French</v>
      </c>
      <c r="D663" t="s">
        <v>73</v>
      </c>
      <c r="E663">
        <v>52</v>
      </c>
      <c r="F663" t="s">
        <v>123</v>
      </c>
      <c r="G663" t="s">
        <v>21</v>
      </c>
      <c r="H663" t="s">
        <v>69</v>
      </c>
      <c r="I663">
        <v>16</v>
      </c>
      <c r="J663">
        <v>100</v>
      </c>
      <c r="K663">
        <v>4</v>
      </c>
      <c r="L663">
        <v>1</v>
      </c>
    </row>
    <row r="664" spans="1:13" x14ac:dyDescent="0.3">
      <c r="A664" t="s">
        <v>1399</v>
      </c>
      <c r="B664" t="s">
        <v>1400</v>
      </c>
      <c r="C664" t="str">
        <f t="shared" si="15"/>
        <v>Angela Johnson</v>
      </c>
      <c r="D664" t="s">
        <v>73</v>
      </c>
      <c r="E664">
        <v>42</v>
      </c>
      <c r="F664" t="s">
        <v>40</v>
      </c>
      <c r="G664" t="s">
        <v>41</v>
      </c>
      <c r="H664" t="s">
        <v>22</v>
      </c>
      <c r="I664">
        <v>8</v>
      </c>
      <c r="J664" t="s">
        <v>94</v>
      </c>
    </row>
    <row r="665" spans="1:13" x14ac:dyDescent="0.3">
      <c r="A665" t="s">
        <v>1401</v>
      </c>
      <c r="B665" t="s">
        <v>1402</v>
      </c>
      <c r="C665" t="str">
        <f t="shared" si="15"/>
        <v>Sarah Edwards</v>
      </c>
      <c r="D665" t="s">
        <v>19</v>
      </c>
      <c r="E665">
        <v>59</v>
      </c>
      <c r="F665" t="s">
        <v>89</v>
      </c>
      <c r="G665" t="s">
        <v>90</v>
      </c>
      <c r="H665" t="s">
        <v>22</v>
      </c>
      <c r="I665">
        <v>34</v>
      </c>
      <c r="J665">
        <v>100</v>
      </c>
      <c r="K665">
        <v>2</v>
      </c>
      <c r="L665">
        <v>1</v>
      </c>
      <c r="M665" s="1">
        <v>0.79</v>
      </c>
    </row>
    <row r="666" spans="1:13" x14ac:dyDescent="0.3">
      <c r="A666" t="s">
        <v>1403</v>
      </c>
      <c r="B666" t="s">
        <v>1404</v>
      </c>
      <c r="C666" t="str">
        <f t="shared" si="15"/>
        <v>Roy Collins</v>
      </c>
      <c r="D666" t="s">
        <v>26</v>
      </c>
      <c r="E666">
        <v>33</v>
      </c>
      <c r="F666" t="s">
        <v>40</v>
      </c>
      <c r="G666" t="s">
        <v>41</v>
      </c>
      <c r="H666" t="s">
        <v>22</v>
      </c>
      <c r="I666">
        <v>5</v>
      </c>
      <c r="J666" s="2">
        <v>50</v>
      </c>
      <c r="K666">
        <v>4.7</v>
      </c>
      <c r="L666">
        <v>1</v>
      </c>
      <c r="M666" s="1">
        <v>0.88</v>
      </c>
    </row>
    <row r="667" spans="1:13" x14ac:dyDescent="0.3">
      <c r="A667" t="s">
        <v>1405</v>
      </c>
      <c r="B667" t="s">
        <v>1406</v>
      </c>
      <c r="C667" t="str">
        <f t="shared" ref="C667:C730" si="16">B667</f>
        <v>Samantha Porter</v>
      </c>
      <c r="D667" t="s">
        <v>33</v>
      </c>
      <c r="E667">
        <v>55</v>
      </c>
      <c r="F667" t="s">
        <v>123</v>
      </c>
      <c r="G667" t="s">
        <v>21</v>
      </c>
      <c r="H667" t="s">
        <v>34</v>
      </c>
      <c r="I667">
        <v>14</v>
      </c>
      <c r="J667" t="s">
        <v>94</v>
      </c>
      <c r="K667">
        <v>3.6</v>
      </c>
      <c r="L667">
        <v>1</v>
      </c>
      <c r="M667" s="1">
        <v>0.81</v>
      </c>
    </row>
    <row r="668" spans="1:13" x14ac:dyDescent="0.3">
      <c r="A668" t="s">
        <v>1407</v>
      </c>
      <c r="B668" t="s">
        <v>1408</v>
      </c>
      <c r="C668" t="str">
        <f t="shared" si="16"/>
        <v>Juan Elliott</v>
      </c>
      <c r="D668" t="s">
        <v>26</v>
      </c>
      <c r="E668">
        <v>47</v>
      </c>
      <c r="F668" t="s">
        <v>108</v>
      </c>
      <c r="G668" t="s">
        <v>109</v>
      </c>
      <c r="H668" t="s">
        <v>69</v>
      </c>
      <c r="I668">
        <v>17</v>
      </c>
      <c r="J668">
        <v>50</v>
      </c>
      <c r="K668">
        <v>1.2</v>
      </c>
      <c r="L668" t="s">
        <v>30</v>
      </c>
    </row>
    <row r="669" spans="1:13" x14ac:dyDescent="0.3">
      <c r="A669" t="s">
        <v>1409</v>
      </c>
      <c r="B669" t="s">
        <v>1410</v>
      </c>
      <c r="C669" t="str">
        <f t="shared" si="16"/>
        <v>Elizabeth Phillips</v>
      </c>
      <c r="D669" t="s">
        <v>19</v>
      </c>
      <c r="E669">
        <v>29</v>
      </c>
      <c r="F669" t="s">
        <v>173</v>
      </c>
      <c r="G669" t="s">
        <v>68</v>
      </c>
      <c r="H669" t="s">
        <v>42</v>
      </c>
      <c r="I669">
        <v>10</v>
      </c>
      <c r="K669">
        <v>4.4000000000000004</v>
      </c>
      <c r="L669" t="s">
        <v>70</v>
      </c>
      <c r="M669" s="1">
        <v>0.67</v>
      </c>
    </row>
    <row r="670" spans="1:13" x14ac:dyDescent="0.3">
      <c r="A670" t="s">
        <v>1411</v>
      </c>
      <c r="B670" t="s">
        <v>1412</v>
      </c>
      <c r="C670" t="str">
        <f t="shared" si="16"/>
        <v>Laura Evans</v>
      </c>
      <c r="D670" t="s">
        <v>73</v>
      </c>
      <c r="E670">
        <v>30</v>
      </c>
      <c r="F670" t="s">
        <v>63</v>
      </c>
      <c r="G670" t="s">
        <v>21</v>
      </c>
      <c r="H670" t="s">
        <v>85</v>
      </c>
      <c r="I670">
        <v>8</v>
      </c>
      <c r="J670">
        <v>100</v>
      </c>
      <c r="K670">
        <v>1.4</v>
      </c>
      <c r="L670" t="s">
        <v>64</v>
      </c>
      <c r="M670">
        <v>62</v>
      </c>
    </row>
    <row r="671" spans="1:13" x14ac:dyDescent="0.3">
      <c r="A671" t="s">
        <v>1413</v>
      </c>
      <c r="B671" t="s">
        <v>1414</v>
      </c>
      <c r="C671" t="str">
        <f t="shared" si="16"/>
        <v>Amanda Mitchell</v>
      </c>
      <c r="D671" t="s">
        <v>19</v>
      </c>
      <c r="E671">
        <v>25</v>
      </c>
      <c r="F671" t="s">
        <v>123</v>
      </c>
      <c r="G671" t="s">
        <v>21</v>
      </c>
      <c r="H671" t="s">
        <v>85</v>
      </c>
      <c r="I671">
        <v>1</v>
      </c>
      <c r="J671" t="s">
        <v>105</v>
      </c>
      <c r="K671">
        <v>3.2</v>
      </c>
      <c r="L671">
        <v>0</v>
      </c>
      <c r="M671" s="1">
        <v>0.87</v>
      </c>
    </row>
    <row r="672" spans="1:13" x14ac:dyDescent="0.3">
      <c r="A672" t="s">
        <v>1415</v>
      </c>
      <c r="B672" t="s">
        <v>1416</v>
      </c>
      <c r="C672" t="str">
        <f t="shared" si="16"/>
        <v>Sandra Williams</v>
      </c>
      <c r="D672" t="s">
        <v>37</v>
      </c>
      <c r="E672">
        <v>28</v>
      </c>
      <c r="F672" t="s">
        <v>134</v>
      </c>
      <c r="G672" t="s">
        <v>135</v>
      </c>
      <c r="H672" t="s">
        <v>74</v>
      </c>
      <c r="I672">
        <v>10</v>
      </c>
      <c r="K672">
        <v>3.8</v>
      </c>
      <c r="L672" t="s">
        <v>64</v>
      </c>
      <c r="M672" s="1">
        <v>0.98</v>
      </c>
    </row>
    <row r="673" spans="1:13" x14ac:dyDescent="0.3">
      <c r="A673" t="s">
        <v>1417</v>
      </c>
      <c r="B673" t="s">
        <v>1418</v>
      </c>
      <c r="C673" t="str">
        <f t="shared" si="16"/>
        <v>Eric Johnson</v>
      </c>
      <c r="D673" t="s">
        <v>26</v>
      </c>
      <c r="E673">
        <v>29</v>
      </c>
      <c r="F673" t="s">
        <v>108</v>
      </c>
      <c r="G673" t="s">
        <v>109</v>
      </c>
      <c r="H673" t="s">
        <v>16</v>
      </c>
      <c r="I673">
        <v>0</v>
      </c>
      <c r="J673" s="2">
        <v>75</v>
      </c>
      <c r="K673">
        <v>1.5</v>
      </c>
      <c r="L673" t="b">
        <v>1</v>
      </c>
      <c r="M673" s="1">
        <v>0.64</v>
      </c>
    </row>
    <row r="674" spans="1:13" x14ac:dyDescent="0.3">
      <c r="A674" t="s">
        <v>1419</v>
      </c>
      <c r="B674" t="s">
        <v>1420</v>
      </c>
      <c r="C674" t="str">
        <f t="shared" si="16"/>
        <v>Javier Hobbs</v>
      </c>
      <c r="D674" t="s">
        <v>93</v>
      </c>
      <c r="E674">
        <v>30</v>
      </c>
      <c r="F674" t="s">
        <v>184</v>
      </c>
      <c r="G674" t="s">
        <v>68</v>
      </c>
      <c r="H674" t="s">
        <v>29</v>
      </c>
      <c r="I674">
        <v>4</v>
      </c>
      <c r="K674">
        <v>2.8</v>
      </c>
      <c r="L674">
        <v>1</v>
      </c>
      <c r="M674" s="1">
        <v>0.71</v>
      </c>
    </row>
    <row r="675" spans="1:13" x14ac:dyDescent="0.3">
      <c r="A675" t="s">
        <v>1421</v>
      </c>
      <c r="B675" t="s">
        <v>1422</v>
      </c>
      <c r="C675" t="str">
        <f t="shared" si="16"/>
        <v>Jacob Jones</v>
      </c>
      <c r="D675" t="s">
        <v>26</v>
      </c>
      <c r="E675">
        <v>47</v>
      </c>
      <c r="F675" t="s">
        <v>134</v>
      </c>
      <c r="G675" t="s">
        <v>135</v>
      </c>
      <c r="H675" t="s">
        <v>42</v>
      </c>
      <c r="I675">
        <v>2</v>
      </c>
      <c r="J675">
        <v>50</v>
      </c>
      <c r="K675">
        <v>2.7</v>
      </c>
      <c r="L675" t="s">
        <v>154</v>
      </c>
      <c r="M675">
        <v>96</v>
      </c>
    </row>
    <row r="676" spans="1:13" x14ac:dyDescent="0.3">
      <c r="A676" t="s">
        <v>1423</v>
      </c>
      <c r="B676" t="s">
        <v>1424</v>
      </c>
      <c r="C676" t="str">
        <f t="shared" si="16"/>
        <v>Zachary Murphy</v>
      </c>
      <c r="D676" t="s">
        <v>58</v>
      </c>
      <c r="E676">
        <v>34</v>
      </c>
      <c r="F676" t="s">
        <v>20</v>
      </c>
      <c r="G676" t="s">
        <v>21</v>
      </c>
      <c r="H676" t="s">
        <v>16</v>
      </c>
      <c r="I676">
        <v>10</v>
      </c>
      <c r="J676" s="2">
        <v>30</v>
      </c>
      <c r="K676">
        <v>3.9</v>
      </c>
    </row>
    <row r="677" spans="1:13" x14ac:dyDescent="0.3">
      <c r="A677" t="s">
        <v>1425</v>
      </c>
      <c r="B677" t="s">
        <v>1426</v>
      </c>
      <c r="C677" t="str">
        <f t="shared" si="16"/>
        <v>Joshua Owens</v>
      </c>
      <c r="D677" t="s">
        <v>88</v>
      </c>
      <c r="E677">
        <v>45</v>
      </c>
      <c r="F677" t="s">
        <v>55</v>
      </c>
      <c r="G677" t="s">
        <v>21</v>
      </c>
      <c r="H677" t="s">
        <v>29</v>
      </c>
      <c r="I677">
        <v>16</v>
      </c>
      <c r="J677">
        <v>100</v>
      </c>
      <c r="K677">
        <v>4.5999999999999996</v>
      </c>
      <c r="L677" t="s">
        <v>30</v>
      </c>
      <c r="M677" s="1">
        <v>0.78</v>
      </c>
    </row>
    <row r="678" spans="1:13" x14ac:dyDescent="0.3">
      <c r="A678" t="s">
        <v>1427</v>
      </c>
      <c r="B678" t="s">
        <v>1428</v>
      </c>
      <c r="C678" t="str">
        <f t="shared" si="16"/>
        <v>Dawn Mitchell</v>
      </c>
      <c r="D678" t="s">
        <v>33</v>
      </c>
      <c r="E678">
        <v>56</v>
      </c>
      <c r="F678" t="s">
        <v>184</v>
      </c>
      <c r="G678" t="s">
        <v>68</v>
      </c>
      <c r="H678" t="s">
        <v>74</v>
      </c>
      <c r="I678">
        <v>27</v>
      </c>
      <c r="J678" s="2">
        <v>20</v>
      </c>
      <c r="K678">
        <v>2.2000000000000002</v>
      </c>
      <c r="L678" t="b">
        <v>0</v>
      </c>
      <c r="M678" s="1">
        <v>0.7</v>
      </c>
    </row>
    <row r="679" spans="1:13" x14ac:dyDescent="0.3">
      <c r="A679" t="s">
        <v>1429</v>
      </c>
      <c r="B679" t="s">
        <v>1430</v>
      </c>
      <c r="C679" t="str">
        <f t="shared" si="16"/>
        <v>Regina Dunn</v>
      </c>
      <c r="D679" t="s">
        <v>37</v>
      </c>
      <c r="E679">
        <v>49</v>
      </c>
      <c r="F679" t="s">
        <v>169</v>
      </c>
      <c r="G679" t="s">
        <v>170</v>
      </c>
      <c r="H679" t="s">
        <v>85</v>
      </c>
      <c r="I679">
        <v>20</v>
      </c>
      <c r="J679">
        <v>50</v>
      </c>
      <c r="K679">
        <v>2.5</v>
      </c>
      <c r="L679">
        <v>0</v>
      </c>
      <c r="M679" s="1">
        <v>0.82</v>
      </c>
    </row>
    <row r="680" spans="1:13" x14ac:dyDescent="0.3">
      <c r="A680" t="s">
        <v>1431</v>
      </c>
      <c r="B680" t="s">
        <v>1432</v>
      </c>
      <c r="C680" t="str">
        <f t="shared" si="16"/>
        <v>Ernest Cole</v>
      </c>
      <c r="D680" t="s">
        <v>58</v>
      </c>
      <c r="E680">
        <v>48</v>
      </c>
      <c r="F680" t="s">
        <v>130</v>
      </c>
      <c r="G680" t="s">
        <v>131</v>
      </c>
      <c r="H680" t="s">
        <v>42</v>
      </c>
      <c r="I680">
        <v>10</v>
      </c>
      <c r="K680">
        <v>3.1</v>
      </c>
      <c r="L680" t="b">
        <v>0</v>
      </c>
    </row>
    <row r="681" spans="1:13" x14ac:dyDescent="0.3">
      <c r="A681" t="s">
        <v>1433</v>
      </c>
      <c r="B681" t="s">
        <v>1434</v>
      </c>
      <c r="C681" t="str">
        <f t="shared" si="16"/>
        <v>Hannah Sanders</v>
      </c>
      <c r="D681" t="s">
        <v>37</v>
      </c>
      <c r="E681">
        <v>29</v>
      </c>
      <c r="F681" t="s">
        <v>108</v>
      </c>
      <c r="G681" t="s">
        <v>109</v>
      </c>
      <c r="H681" t="s">
        <v>29</v>
      </c>
      <c r="I681">
        <v>0</v>
      </c>
      <c r="J681" s="2">
        <v>20</v>
      </c>
      <c r="L681">
        <v>1</v>
      </c>
      <c r="M681" s="1">
        <v>0.99</v>
      </c>
    </row>
    <row r="682" spans="1:13" x14ac:dyDescent="0.3">
      <c r="A682" t="s">
        <v>1435</v>
      </c>
      <c r="B682" t="s">
        <v>1436</v>
      </c>
      <c r="C682" t="str">
        <f t="shared" si="16"/>
        <v>Ellen Bowman</v>
      </c>
      <c r="D682" t="s">
        <v>73</v>
      </c>
      <c r="E682">
        <v>49</v>
      </c>
      <c r="F682" t="s">
        <v>40</v>
      </c>
      <c r="G682" t="s">
        <v>41</v>
      </c>
      <c r="H682" t="s">
        <v>34</v>
      </c>
      <c r="I682">
        <v>11</v>
      </c>
      <c r="J682">
        <v>75</v>
      </c>
      <c r="K682">
        <v>3.8</v>
      </c>
      <c r="L682" t="s">
        <v>70</v>
      </c>
      <c r="M682" s="1">
        <v>0.93</v>
      </c>
    </row>
    <row r="683" spans="1:13" x14ac:dyDescent="0.3">
      <c r="A683" t="s">
        <v>1437</v>
      </c>
      <c r="B683" t="s">
        <v>1438</v>
      </c>
      <c r="C683" t="str">
        <f t="shared" si="16"/>
        <v>Nancy Moore</v>
      </c>
      <c r="D683" t="s">
        <v>19</v>
      </c>
      <c r="E683">
        <v>22</v>
      </c>
      <c r="F683" t="s">
        <v>169</v>
      </c>
      <c r="G683" t="s">
        <v>170</v>
      </c>
      <c r="H683" t="s">
        <v>16</v>
      </c>
      <c r="I683">
        <v>1</v>
      </c>
      <c r="J683">
        <v>100</v>
      </c>
      <c r="K683">
        <v>4.8</v>
      </c>
      <c r="L683" t="s">
        <v>70</v>
      </c>
      <c r="M683" s="1">
        <v>0.75</v>
      </c>
    </row>
    <row r="684" spans="1:13" x14ac:dyDescent="0.3">
      <c r="A684" t="s">
        <v>1439</v>
      </c>
      <c r="B684" t="s">
        <v>1440</v>
      </c>
      <c r="C684" t="str">
        <f t="shared" si="16"/>
        <v>Joseph Wood</v>
      </c>
      <c r="D684" t="s">
        <v>45</v>
      </c>
      <c r="E684">
        <v>52</v>
      </c>
      <c r="F684" t="s">
        <v>173</v>
      </c>
      <c r="G684" t="s">
        <v>68</v>
      </c>
      <c r="H684" t="s">
        <v>29</v>
      </c>
      <c r="I684">
        <v>30</v>
      </c>
      <c r="J684" t="s">
        <v>23</v>
      </c>
      <c r="K684">
        <v>2.5</v>
      </c>
      <c r="M684">
        <v>61</v>
      </c>
    </row>
    <row r="685" spans="1:13" x14ac:dyDescent="0.3">
      <c r="A685" t="s">
        <v>1441</v>
      </c>
      <c r="B685" t="s">
        <v>1442</v>
      </c>
      <c r="C685" t="str">
        <f t="shared" si="16"/>
        <v>Michael Harrell</v>
      </c>
      <c r="D685" t="s">
        <v>58</v>
      </c>
      <c r="E685">
        <v>60</v>
      </c>
      <c r="F685" t="s">
        <v>123</v>
      </c>
      <c r="G685" t="s">
        <v>21</v>
      </c>
      <c r="H685" t="s">
        <v>16</v>
      </c>
      <c r="I685">
        <v>7</v>
      </c>
      <c r="J685" t="s">
        <v>105</v>
      </c>
      <c r="K685">
        <v>0</v>
      </c>
      <c r="L685" t="s">
        <v>154</v>
      </c>
      <c r="M685" s="1">
        <v>0.97</v>
      </c>
    </row>
    <row r="686" spans="1:13" x14ac:dyDescent="0.3">
      <c r="A686" t="s">
        <v>1443</v>
      </c>
      <c r="B686" t="s">
        <v>1444</v>
      </c>
      <c r="C686" t="str">
        <f t="shared" si="16"/>
        <v>Connie Mcclain</v>
      </c>
      <c r="D686" t="s">
        <v>33</v>
      </c>
      <c r="E686">
        <v>33</v>
      </c>
      <c r="F686" t="s">
        <v>81</v>
      </c>
      <c r="G686" t="s">
        <v>82</v>
      </c>
      <c r="H686" t="s">
        <v>69</v>
      </c>
      <c r="I686">
        <v>0</v>
      </c>
      <c r="J686" s="2">
        <v>100</v>
      </c>
      <c r="K686">
        <v>1.7</v>
      </c>
      <c r="L686">
        <v>1</v>
      </c>
      <c r="M686">
        <v>95</v>
      </c>
    </row>
    <row r="687" spans="1:13" x14ac:dyDescent="0.3">
      <c r="A687" t="s">
        <v>1445</v>
      </c>
      <c r="B687" t="s">
        <v>1446</v>
      </c>
      <c r="C687" t="str">
        <f t="shared" si="16"/>
        <v>Matthew Baldwin</v>
      </c>
      <c r="D687" t="s">
        <v>88</v>
      </c>
      <c r="E687">
        <v>52</v>
      </c>
      <c r="F687" t="s">
        <v>108</v>
      </c>
      <c r="G687" t="s">
        <v>109</v>
      </c>
      <c r="H687" t="s">
        <v>29</v>
      </c>
      <c r="I687">
        <v>21</v>
      </c>
      <c r="J687" t="s">
        <v>52</v>
      </c>
      <c r="K687">
        <v>4</v>
      </c>
      <c r="M687" s="1">
        <v>0.69</v>
      </c>
    </row>
    <row r="688" spans="1:13" x14ac:dyDescent="0.3">
      <c r="A688" t="s">
        <v>1447</v>
      </c>
      <c r="B688" t="s">
        <v>1448</v>
      </c>
      <c r="C688" t="str">
        <f t="shared" si="16"/>
        <v>Danielle Nelson</v>
      </c>
      <c r="D688" t="s">
        <v>13</v>
      </c>
      <c r="E688">
        <v>25</v>
      </c>
      <c r="F688" t="s">
        <v>27</v>
      </c>
      <c r="G688" t="s">
        <v>28</v>
      </c>
      <c r="H688" t="s">
        <v>85</v>
      </c>
      <c r="I688">
        <v>7</v>
      </c>
      <c r="J688" t="s">
        <v>23</v>
      </c>
      <c r="K688">
        <v>1.9</v>
      </c>
      <c r="L688" t="b">
        <v>0</v>
      </c>
      <c r="M688" s="1">
        <v>0.63</v>
      </c>
    </row>
    <row r="689" spans="1:13" x14ac:dyDescent="0.3">
      <c r="A689" t="s">
        <v>1449</v>
      </c>
      <c r="B689" t="s">
        <v>1450</v>
      </c>
      <c r="C689" t="str">
        <f t="shared" si="16"/>
        <v>Steven Moore</v>
      </c>
      <c r="D689" t="s">
        <v>88</v>
      </c>
      <c r="E689">
        <v>33</v>
      </c>
      <c r="F689" t="s">
        <v>81</v>
      </c>
      <c r="G689" t="s">
        <v>82</v>
      </c>
      <c r="H689" t="s">
        <v>74</v>
      </c>
      <c r="J689" t="s">
        <v>105</v>
      </c>
      <c r="K689">
        <v>4.4000000000000004</v>
      </c>
      <c r="L689" t="b">
        <v>1</v>
      </c>
      <c r="M689" s="1">
        <v>0.65</v>
      </c>
    </row>
    <row r="690" spans="1:13" x14ac:dyDescent="0.3">
      <c r="A690" t="s">
        <v>1451</v>
      </c>
      <c r="B690" t="s">
        <v>1452</v>
      </c>
      <c r="C690" t="str">
        <f t="shared" si="16"/>
        <v>Megan Hudson</v>
      </c>
      <c r="D690" t="s">
        <v>13</v>
      </c>
      <c r="E690">
        <v>33</v>
      </c>
      <c r="F690" t="s">
        <v>169</v>
      </c>
      <c r="G690" t="s">
        <v>170</v>
      </c>
      <c r="H690" t="s">
        <v>22</v>
      </c>
      <c r="K690">
        <v>4.2</v>
      </c>
      <c r="L690" t="s">
        <v>70</v>
      </c>
      <c r="M690" s="1">
        <v>0.9</v>
      </c>
    </row>
    <row r="691" spans="1:13" x14ac:dyDescent="0.3">
      <c r="A691" t="s">
        <v>1453</v>
      </c>
      <c r="B691" t="s">
        <v>39</v>
      </c>
      <c r="C691" t="str">
        <f t="shared" si="16"/>
        <v>Lisa Johnson</v>
      </c>
      <c r="D691" t="s">
        <v>73</v>
      </c>
      <c r="E691">
        <v>52</v>
      </c>
      <c r="F691" t="s">
        <v>123</v>
      </c>
      <c r="G691" t="s">
        <v>21</v>
      </c>
      <c r="H691" t="s">
        <v>69</v>
      </c>
      <c r="I691">
        <v>25</v>
      </c>
      <c r="J691">
        <v>100</v>
      </c>
      <c r="K691">
        <v>4.8</v>
      </c>
      <c r="L691" t="s">
        <v>30</v>
      </c>
    </row>
    <row r="692" spans="1:13" x14ac:dyDescent="0.3">
      <c r="A692" t="s">
        <v>1454</v>
      </c>
      <c r="B692" t="s">
        <v>1455</v>
      </c>
      <c r="C692" t="str">
        <f t="shared" si="16"/>
        <v>Tracy White</v>
      </c>
      <c r="D692" t="s">
        <v>13</v>
      </c>
      <c r="E692">
        <v>20</v>
      </c>
      <c r="F692" t="s">
        <v>46</v>
      </c>
      <c r="G692" t="s">
        <v>47</v>
      </c>
      <c r="H692" t="s">
        <v>34</v>
      </c>
      <c r="I692">
        <v>1</v>
      </c>
      <c r="J692" t="s">
        <v>105</v>
      </c>
      <c r="K692">
        <v>2</v>
      </c>
      <c r="L692" t="s">
        <v>154</v>
      </c>
      <c r="M692" s="1">
        <v>0.89</v>
      </c>
    </row>
    <row r="693" spans="1:13" x14ac:dyDescent="0.3">
      <c r="A693" t="s">
        <v>1456</v>
      </c>
      <c r="B693" t="s">
        <v>1457</v>
      </c>
      <c r="C693" t="str">
        <f t="shared" si="16"/>
        <v>Natalie Diaz</v>
      </c>
      <c r="D693" t="s">
        <v>19</v>
      </c>
      <c r="E693">
        <v>43</v>
      </c>
      <c r="F693" t="s">
        <v>119</v>
      </c>
      <c r="G693" t="s">
        <v>120</v>
      </c>
      <c r="H693" t="s">
        <v>48</v>
      </c>
      <c r="I693">
        <v>7</v>
      </c>
      <c r="J693" t="s">
        <v>94</v>
      </c>
      <c r="L693">
        <v>1</v>
      </c>
      <c r="M693" s="1">
        <v>0.8</v>
      </c>
    </row>
    <row r="694" spans="1:13" x14ac:dyDescent="0.3">
      <c r="A694" t="s">
        <v>1458</v>
      </c>
      <c r="B694" t="s">
        <v>1414</v>
      </c>
      <c r="C694" t="str">
        <f t="shared" si="16"/>
        <v>Amanda Mitchell</v>
      </c>
      <c r="D694" t="s">
        <v>37</v>
      </c>
      <c r="E694">
        <v>31</v>
      </c>
      <c r="F694" t="s">
        <v>130</v>
      </c>
      <c r="G694" t="s">
        <v>131</v>
      </c>
      <c r="H694" t="s">
        <v>22</v>
      </c>
      <c r="J694">
        <v>50</v>
      </c>
      <c r="K694">
        <v>1.4</v>
      </c>
      <c r="L694" t="s">
        <v>154</v>
      </c>
      <c r="M694" s="1">
        <v>0.8</v>
      </c>
    </row>
    <row r="695" spans="1:13" x14ac:dyDescent="0.3">
      <c r="A695" t="s">
        <v>1459</v>
      </c>
      <c r="B695" t="s">
        <v>1460</v>
      </c>
      <c r="C695" t="str">
        <f t="shared" si="16"/>
        <v>Karen Scott</v>
      </c>
      <c r="D695" t="s">
        <v>19</v>
      </c>
      <c r="E695">
        <v>29</v>
      </c>
      <c r="F695" t="s">
        <v>27</v>
      </c>
      <c r="G695" t="s">
        <v>28</v>
      </c>
      <c r="H695" t="s">
        <v>48</v>
      </c>
      <c r="I695">
        <v>6</v>
      </c>
      <c r="J695">
        <v>100</v>
      </c>
      <c r="K695">
        <v>1.8</v>
      </c>
      <c r="L695" t="s">
        <v>30</v>
      </c>
    </row>
    <row r="696" spans="1:13" x14ac:dyDescent="0.3">
      <c r="A696" t="s">
        <v>1461</v>
      </c>
      <c r="B696" t="s">
        <v>832</v>
      </c>
      <c r="C696" t="str">
        <f t="shared" si="16"/>
        <v>Mary Brown</v>
      </c>
      <c r="D696" t="s">
        <v>19</v>
      </c>
      <c r="E696">
        <v>53</v>
      </c>
      <c r="F696" t="s">
        <v>148</v>
      </c>
      <c r="G696" t="s">
        <v>149</v>
      </c>
      <c r="H696" t="s">
        <v>29</v>
      </c>
      <c r="I696">
        <v>35</v>
      </c>
      <c r="K696">
        <v>0</v>
      </c>
      <c r="L696">
        <v>1</v>
      </c>
      <c r="M696" s="1">
        <v>0.67</v>
      </c>
    </row>
    <row r="697" spans="1:13" x14ac:dyDescent="0.3">
      <c r="A697" t="s">
        <v>1462</v>
      </c>
      <c r="B697" t="s">
        <v>1463</v>
      </c>
      <c r="C697" t="str">
        <f t="shared" si="16"/>
        <v>Jon Jones</v>
      </c>
      <c r="D697" t="s">
        <v>26</v>
      </c>
      <c r="E697">
        <v>38</v>
      </c>
      <c r="F697" t="s">
        <v>89</v>
      </c>
      <c r="G697" t="s">
        <v>90</v>
      </c>
      <c r="H697" t="s">
        <v>22</v>
      </c>
      <c r="I697">
        <v>1</v>
      </c>
      <c r="J697" t="s">
        <v>52</v>
      </c>
      <c r="K697">
        <v>0</v>
      </c>
      <c r="L697">
        <v>0</v>
      </c>
      <c r="M697" s="1">
        <v>0.96</v>
      </c>
    </row>
    <row r="698" spans="1:13" x14ac:dyDescent="0.3">
      <c r="A698" t="s">
        <v>1464</v>
      </c>
      <c r="B698" t="s">
        <v>1465</v>
      </c>
      <c r="C698" t="str">
        <f t="shared" si="16"/>
        <v>Jason Phillips</v>
      </c>
      <c r="D698" t="s">
        <v>93</v>
      </c>
      <c r="E698">
        <v>29</v>
      </c>
      <c r="F698" t="s">
        <v>184</v>
      </c>
      <c r="G698" t="s">
        <v>68</v>
      </c>
      <c r="H698" t="s">
        <v>29</v>
      </c>
      <c r="J698">
        <v>20</v>
      </c>
      <c r="K698">
        <v>0</v>
      </c>
      <c r="L698">
        <v>0</v>
      </c>
      <c r="M698" s="1">
        <v>0.9</v>
      </c>
    </row>
    <row r="699" spans="1:13" x14ac:dyDescent="0.3">
      <c r="A699" t="s">
        <v>1466</v>
      </c>
      <c r="B699" t="s">
        <v>1467</v>
      </c>
      <c r="C699" t="str">
        <f t="shared" si="16"/>
        <v>Eric Walsh</v>
      </c>
      <c r="D699" t="s">
        <v>88</v>
      </c>
      <c r="E699">
        <v>42</v>
      </c>
      <c r="F699" t="s">
        <v>108</v>
      </c>
      <c r="G699" t="s">
        <v>109</v>
      </c>
      <c r="H699" t="s">
        <v>69</v>
      </c>
      <c r="I699">
        <v>0</v>
      </c>
      <c r="K699">
        <v>3.9</v>
      </c>
      <c r="L699" t="b">
        <v>0</v>
      </c>
      <c r="M699" s="1">
        <v>0.62</v>
      </c>
    </row>
    <row r="700" spans="1:13" x14ac:dyDescent="0.3">
      <c r="A700" t="s">
        <v>1468</v>
      </c>
      <c r="B700" t="s">
        <v>1469</v>
      </c>
      <c r="C700" t="str">
        <f t="shared" si="16"/>
        <v>Carol Schneider</v>
      </c>
      <c r="D700" t="s">
        <v>13</v>
      </c>
      <c r="E700">
        <v>54</v>
      </c>
      <c r="F700" t="s">
        <v>55</v>
      </c>
      <c r="G700" t="s">
        <v>21</v>
      </c>
      <c r="H700" t="s">
        <v>110</v>
      </c>
      <c r="I700">
        <v>9</v>
      </c>
      <c r="J700">
        <v>100</v>
      </c>
      <c r="L700" t="s">
        <v>30</v>
      </c>
      <c r="M700" s="1">
        <v>0.72</v>
      </c>
    </row>
    <row r="701" spans="1:13" x14ac:dyDescent="0.3">
      <c r="A701" t="s">
        <v>1470</v>
      </c>
      <c r="B701" t="s">
        <v>1471</v>
      </c>
      <c r="C701" t="str">
        <f t="shared" si="16"/>
        <v>Juan Hines</v>
      </c>
      <c r="D701" t="s">
        <v>58</v>
      </c>
      <c r="E701">
        <v>56</v>
      </c>
      <c r="F701" t="s">
        <v>169</v>
      </c>
      <c r="G701" t="s">
        <v>170</v>
      </c>
      <c r="H701" t="s">
        <v>69</v>
      </c>
      <c r="I701">
        <v>18</v>
      </c>
      <c r="J701" t="s">
        <v>94</v>
      </c>
      <c r="K701">
        <v>4.4000000000000004</v>
      </c>
      <c r="L701" t="s">
        <v>70</v>
      </c>
      <c r="M701" s="1">
        <v>0.83</v>
      </c>
    </row>
    <row r="702" spans="1:13" x14ac:dyDescent="0.3">
      <c r="A702" t="s">
        <v>1472</v>
      </c>
      <c r="B702" t="s">
        <v>1473</v>
      </c>
      <c r="C702" t="str">
        <f t="shared" si="16"/>
        <v>Martha Sweeney</v>
      </c>
      <c r="D702" t="s">
        <v>13</v>
      </c>
      <c r="E702">
        <v>47</v>
      </c>
      <c r="F702" t="s">
        <v>59</v>
      </c>
      <c r="G702" t="s">
        <v>60</v>
      </c>
      <c r="H702" t="s">
        <v>29</v>
      </c>
      <c r="I702">
        <v>22</v>
      </c>
      <c r="J702">
        <v>100</v>
      </c>
      <c r="K702">
        <v>4.4000000000000004</v>
      </c>
      <c r="L702" t="s">
        <v>154</v>
      </c>
      <c r="M702" s="1">
        <v>0.7</v>
      </c>
    </row>
    <row r="703" spans="1:13" x14ac:dyDescent="0.3">
      <c r="A703" t="s">
        <v>1474</v>
      </c>
      <c r="B703" t="s">
        <v>1475</v>
      </c>
      <c r="C703" t="str">
        <f t="shared" si="16"/>
        <v>Jason Weaver</v>
      </c>
      <c r="D703" t="s">
        <v>45</v>
      </c>
      <c r="E703">
        <v>45</v>
      </c>
      <c r="F703" t="s">
        <v>119</v>
      </c>
      <c r="G703" t="s">
        <v>120</v>
      </c>
      <c r="H703" t="s">
        <v>16</v>
      </c>
      <c r="I703">
        <v>25</v>
      </c>
      <c r="J703">
        <v>50</v>
      </c>
      <c r="K703">
        <v>0</v>
      </c>
      <c r="L703" t="s">
        <v>154</v>
      </c>
      <c r="M703">
        <v>99</v>
      </c>
    </row>
    <row r="704" spans="1:13" x14ac:dyDescent="0.3">
      <c r="A704" t="s">
        <v>1476</v>
      </c>
      <c r="B704" t="s">
        <v>1477</v>
      </c>
      <c r="C704" t="str">
        <f t="shared" si="16"/>
        <v>Benjamin Stevens</v>
      </c>
      <c r="D704" t="s">
        <v>88</v>
      </c>
      <c r="E704">
        <v>45</v>
      </c>
      <c r="F704" t="s">
        <v>169</v>
      </c>
      <c r="G704" t="s">
        <v>170</v>
      </c>
      <c r="H704" t="s">
        <v>48</v>
      </c>
      <c r="I704">
        <v>6</v>
      </c>
      <c r="J704">
        <v>50</v>
      </c>
      <c r="K704">
        <v>1.4</v>
      </c>
      <c r="M704">
        <v>97</v>
      </c>
    </row>
    <row r="705" spans="1:13" x14ac:dyDescent="0.3">
      <c r="A705" t="s">
        <v>1478</v>
      </c>
      <c r="B705" t="s">
        <v>1479</v>
      </c>
      <c r="C705" t="str">
        <f t="shared" si="16"/>
        <v>Daniel Lopez</v>
      </c>
      <c r="D705" t="s">
        <v>88</v>
      </c>
      <c r="E705">
        <v>35</v>
      </c>
      <c r="F705" t="s">
        <v>123</v>
      </c>
      <c r="G705" t="s">
        <v>21</v>
      </c>
      <c r="H705" t="s">
        <v>110</v>
      </c>
      <c r="I705">
        <v>10</v>
      </c>
      <c r="J705">
        <v>20</v>
      </c>
      <c r="K705">
        <v>3.2</v>
      </c>
      <c r="L705" t="b">
        <v>1</v>
      </c>
      <c r="M705" s="1">
        <v>0.77</v>
      </c>
    </row>
    <row r="706" spans="1:13" x14ac:dyDescent="0.3">
      <c r="A706" t="s">
        <v>1480</v>
      </c>
      <c r="B706" t="s">
        <v>1481</v>
      </c>
      <c r="C706" t="str">
        <f t="shared" si="16"/>
        <v>John Simpson</v>
      </c>
      <c r="D706" t="s">
        <v>26</v>
      </c>
      <c r="E706">
        <v>51</v>
      </c>
      <c r="F706" t="s">
        <v>123</v>
      </c>
      <c r="G706" t="s">
        <v>21</v>
      </c>
      <c r="H706" t="s">
        <v>85</v>
      </c>
      <c r="I706">
        <v>4</v>
      </c>
      <c r="J706" t="s">
        <v>94</v>
      </c>
      <c r="K706">
        <v>2</v>
      </c>
      <c r="L706" t="s">
        <v>154</v>
      </c>
      <c r="M706" s="1">
        <v>0.92</v>
      </c>
    </row>
    <row r="707" spans="1:13" x14ac:dyDescent="0.3">
      <c r="A707" t="s">
        <v>1482</v>
      </c>
      <c r="B707" t="s">
        <v>1483</v>
      </c>
      <c r="C707" t="str">
        <f t="shared" si="16"/>
        <v>Katrina Schultz</v>
      </c>
      <c r="D707" t="s">
        <v>33</v>
      </c>
      <c r="E707">
        <v>34</v>
      </c>
      <c r="F707" t="s">
        <v>184</v>
      </c>
      <c r="G707" t="s">
        <v>68</v>
      </c>
      <c r="H707" t="s">
        <v>22</v>
      </c>
      <c r="I707">
        <v>11</v>
      </c>
      <c r="J707">
        <v>50</v>
      </c>
      <c r="K707">
        <v>3.3</v>
      </c>
      <c r="L707" t="s">
        <v>64</v>
      </c>
      <c r="M707" s="1">
        <v>0.76</v>
      </c>
    </row>
    <row r="708" spans="1:13" x14ac:dyDescent="0.3">
      <c r="A708" t="s">
        <v>1484</v>
      </c>
      <c r="B708" t="s">
        <v>1485</v>
      </c>
      <c r="C708" t="str">
        <f t="shared" si="16"/>
        <v>Danielle Bell</v>
      </c>
      <c r="D708" t="s">
        <v>19</v>
      </c>
      <c r="E708">
        <v>51</v>
      </c>
      <c r="F708" t="s">
        <v>46</v>
      </c>
      <c r="G708" t="s">
        <v>47</v>
      </c>
      <c r="H708" t="s">
        <v>29</v>
      </c>
      <c r="I708">
        <v>1</v>
      </c>
      <c r="J708" s="2">
        <v>50</v>
      </c>
      <c r="K708">
        <v>0</v>
      </c>
      <c r="L708" t="s">
        <v>70</v>
      </c>
      <c r="M708" s="1">
        <v>0.97</v>
      </c>
    </row>
    <row r="709" spans="1:13" x14ac:dyDescent="0.3">
      <c r="A709" t="s">
        <v>1486</v>
      </c>
      <c r="B709" t="s">
        <v>1487</v>
      </c>
      <c r="C709" t="str">
        <f t="shared" si="16"/>
        <v>Jason Brady</v>
      </c>
      <c r="D709" t="s">
        <v>88</v>
      </c>
      <c r="E709">
        <v>58</v>
      </c>
      <c r="F709" t="s">
        <v>134</v>
      </c>
      <c r="G709" t="s">
        <v>135</v>
      </c>
      <c r="H709" t="s">
        <v>29</v>
      </c>
      <c r="I709">
        <v>35</v>
      </c>
      <c r="J709" t="s">
        <v>23</v>
      </c>
      <c r="K709">
        <v>2.2999999999999998</v>
      </c>
      <c r="L709" t="s">
        <v>70</v>
      </c>
    </row>
    <row r="710" spans="1:13" x14ac:dyDescent="0.3">
      <c r="A710" t="s">
        <v>1488</v>
      </c>
      <c r="B710" t="s">
        <v>1489</v>
      </c>
      <c r="C710" t="str">
        <f t="shared" si="16"/>
        <v>Megan Bright</v>
      </c>
      <c r="D710" t="s">
        <v>13</v>
      </c>
      <c r="E710">
        <v>36</v>
      </c>
      <c r="F710" t="s">
        <v>40</v>
      </c>
      <c r="G710" t="s">
        <v>41</v>
      </c>
      <c r="H710" t="s">
        <v>34</v>
      </c>
      <c r="I710">
        <v>17</v>
      </c>
      <c r="J710" s="2">
        <v>20</v>
      </c>
      <c r="K710">
        <v>0</v>
      </c>
      <c r="L710">
        <v>1</v>
      </c>
      <c r="M710">
        <v>99</v>
      </c>
    </row>
    <row r="711" spans="1:13" x14ac:dyDescent="0.3">
      <c r="A711" t="s">
        <v>1490</v>
      </c>
      <c r="B711" t="s">
        <v>1491</v>
      </c>
      <c r="C711" t="str">
        <f t="shared" si="16"/>
        <v>David Griffin</v>
      </c>
      <c r="D711" t="s">
        <v>58</v>
      </c>
      <c r="F711" t="s">
        <v>119</v>
      </c>
      <c r="G711" t="s">
        <v>120</v>
      </c>
      <c r="H711" t="s">
        <v>42</v>
      </c>
      <c r="I711">
        <v>12</v>
      </c>
      <c r="J711">
        <v>30</v>
      </c>
      <c r="K711">
        <v>2.6</v>
      </c>
      <c r="L711" t="s">
        <v>70</v>
      </c>
    </row>
    <row r="712" spans="1:13" x14ac:dyDescent="0.3">
      <c r="A712" t="s">
        <v>1492</v>
      </c>
      <c r="B712" t="s">
        <v>1493</v>
      </c>
      <c r="C712" t="str">
        <f t="shared" si="16"/>
        <v>Michael Clark</v>
      </c>
      <c r="D712" t="s">
        <v>88</v>
      </c>
      <c r="E712">
        <v>56</v>
      </c>
      <c r="F712" t="s">
        <v>148</v>
      </c>
      <c r="G712" t="s">
        <v>149</v>
      </c>
      <c r="H712" t="s">
        <v>110</v>
      </c>
      <c r="I712">
        <v>30</v>
      </c>
      <c r="J712">
        <v>40</v>
      </c>
      <c r="K712">
        <v>3.3</v>
      </c>
      <c r="L712" t="s">
        <v>64</v>
      </c>
      <c r="M712" s="1">
        <v>0.82</v>
      </c>
    </row>
    <row r="713" spans="1:13" x14ac:dyDescent="0.3">
      <c r="A713" t="s">
        <v>1494</v>
      </c>
      <c r="B713" t="s">
        <v>1495</v>
      </c>
      <c r="C713" t="str">
        <f t="shared" si="16"/>
        <v>Rebecca Barker</v>
      </c>
      <c r="D713" t="s">
        <v>13</v>
      </c>
      <c r="E713">
        <v>58</v>
      </c>
      <c r="F713" t="s">
        <v>123</v>
      </c>
      <c r="G713" t="s">
        <v>21</v>
      </c>
      <c r="H713" t="s">
        <v>74</v>
      </c>
      <c r="I713">
        <v>20</v>
      </c>
      <c r="J713">
        <v>75</v>
      </c>
      <c r="K713">
        <v>3.6</v>
      </c>
      <c r="L713" t="s">
        <v>64</v>
      </c>
      <c r="M713" s="1">
        <v>0.78</v>
      </c>
    </row>
    <row r="714" spans="1:13" x14ac:dyDescent="0.3">
      <c r="A714" t="s">
        <v>1496</v>
      </c>
      <c r="B714" t="s">
        <v>1497</v>
      </c>
      <c r="C714" t="str">
        <f t="shared" si="16"/>
        <v>Angela Smith</v>
      </c>
      <c r="D714" t="s">
        <v>13</v>
      </c>
      <c r="E714">
        <v>58</v>
      </c>
      <c r="F714" t="s">
        <v>55</v>
      </c>
      <c r="G714" t="s">
        <v>21</v>
      </c>
      <c r="H714" t="s">
        <v>74</v>
      </c>
      <c r="I714">
        <v>22</v>
      </c>
      <c r="J714">
        <v>100</v>
      </c>
      <c r="K714">
        <v>3.7</v>
      </c>
      <c r="L714">
        <v>0</v>
      </c>
    </row>
    <row r="715" spans="1:13" x14ac:dyDescent="0.3">
      <c r="A715" t="s">
        <v>1498</v>
      </c>
      <c r="B715" t="s">
        <v>1499</v>
      </c>
      <c r="C715" t="str">
        <f t="shared" si="16"/>
        <v>Christina Wright</v>
      </c>
      <c r="D715" t="s">
        <v>33</v>
      </c>
      <c r="E715">
        <v>54</v>
      </c>
      <c r="F715" t="s">
        <v>63</v>
      </c>
      <c r="G715" t="s">
        <v>21</v>
      </c>
      <c r="H715" t="s">
        <v>42</v>
      </c>
      <c r="I715">
        <v>32</v>
      </c>
      <c r="J715" s="2">
        <v>20</v>
      </c>
      <c r="K715">
        <v>3.4</v>
      </c>
      <c r="L715" t="s">
        <v>154</v>
      </c>
    </row>
    <row r="716" spans="1:13" x14ac:dyDescent="0.3">
      <c r="A716" t="s">
        <v>1500</v>
      </c>
      <c r="B716" t="s">
        <v>1501</v>
      </c>
      <c r="C716" t="str">
        <f t="shared" si="16"/>
        <v>Todd Turner</v>
      </c>
      <c r="D716" t="s">
        <v>26</v>
      </c>
      <c r="E716">
        <v>53</v>
      </c>
      <c r="F716" t="s">
        <v>20</v>
      </c>
      <c r="G716" t="s">
        <v>21</v>
      </c>
      <c r="H716" t="s">
        <v>69</v>
      </c>
      <c r="I716">
        <v>9</v>
      </c>
      <c r="J716">
        <v>50</v>
      </c>
      <c r="K716">
        <v>4</v>
      </c>
      <c r="L716" t="s">
        <v>70</v>
      </c>
      <c r="M716" s="1">
        <v>0.72</v>
      </c>
    </row>
    <row r="717" spans="1:13" x14ac:dyDescent="0.3">
      <c r="A717" t="s">
        <v>1502</v>
      </c>
      <c r="B717" t="s">
        <v>1503</v>
      </c>
      <c r="C717" t="str">
        <f t="shared" si="16"/>
        <v>Elizabeth Green</v>
      </c>
      <c r="D717" t="s">
        <v>73</v>
      </c>
      <c r="E717">
        <v>43</v>
      </c>
      <c r="F717" t="s">
        <v>20</v>
      </c>
      <c r="G717" t="s">
        <v>21</v>
      </c>
      <c r="H717" t="s">
        <v>34</v>
      </c>
      <c r="I717">
        <v>22</v>
      </c>
      <c r="J717">
        <v>40</v>
      </c>
      <c r="K717">
        <v>4.5</v>
      </c>
    </row>
    <row r="718" spans="1:13" x14ac:dyDescent="0.3">
      <c r="A718" t="s">
        <v>1504</v>
      </c>
      <c r="B718" t="s">
        <v>1505</v>
      </c>
      <c r="C718" t="str">
        <f t="shared" si="16"/>
        <v>Alex Smith</v>
      </c>
      <c r="D718" t="s">
        <v>88</v>
      </c>
      <c r="E718">
        <v>44</v>
      </c>
      <c r="F718" t="s">
        <v>108</v>
      </c>
      <c r="G718" t="s">
        <v>109</v>
      </c>
      <c r="H718" t="s">
        <v>110</v>
      </c>
      <c r="I718">
        <v>1</v>
      </c>
      <c r="J718">
        <v>75</v>
      </c>
      <c r="K718">
        <v>4.3</v>
      </c>
      <c r="L718">
        <v>1</v>
      </c>
    </row>
    <row r="719" spans="1:13" x14ac:dyDescent="0.3">
      <c r="A719" t="s">
        <v>1506</v>
      </c>
      <c r="B719" t="s">
        <v>1507</v>
      </c>
      <c r="C719" t="str">
        <f t="shared" si="16"/>
        <v>Shane Hale</v>
      </c>
      <c r="D719" t="s">
        <v>88</v>
      </c>
      <c r="E719">
        <v>34</v>
      </c>
      <c r="F719" t="s">
        <v>123</v>
      </c>
      <c r="G719" t="s">
        <v>21</v>
      </c>
      <c r="H719" t="s">
        <v>74</v>
      </c>
      <c r="I719">
        <v>4</v>
      </c>
      <c r="J719">
        <v>75</v>
      </c>
      <c r="K719">
        <v>4</v>
      </c>
      <c r="L719">
        <v>1</v>
      </c>
    </row>
    <row r="720" spans="1:13" x14ac:dyDescent="0.3">
      <c r="A720" t="s">
        <v>1508</v>
      </c>
      <c r="B720" t="s">
        <v>1509</v>
      </c>
      <c r="C720" t="str">
        <f t="shared" si="16"/>
        <v>Kathy Grimes</v>
      </c>
      <c r="D720" t="s">
        <v>37</v>
      </c>
      <c r="E720">
        <v>27</v>
      </c>
      <c r="F720" t="s">
        <v>103</v>
      </c>
      <c r="G720" t="s">
        <v>104</v>
      </c>
      <c r="H720" t="s">
        <v>22</v>
      </c>
      <c r="I720">
        <v>8</v>
      </c>
      <c r="J720" s="2">
        <v>50</v>
      </c>
      <c r="K720">
        <v>1.6</v>
      </c>
      <c r="L720" t="s">
        <v>64</v>
      </c>
    </row>
    <row r="721" spans="1:13" x14ac:dyDescent="0.3">
      <c r="A721" t="s">
        <v>1510</v>
      </c>
      <c r="B721" t="s">
        <v>1511</v>
      </c>
      <c r="C721" t="str">
        <f t="shared" si="16"/>
        <v>David Cherry</v>
      </c>
      <c r="D721" t="s">
        <v>45</v>
      </c>
      <c r="E721">
        <v>50</v>
      </c>
      <c r="F721" t="s">
        <v>81</v>
      </c>
      <c r="G721" t="s">
        <v>82</v>
      </c>
      <c r="H721" t="s">
        <v>48</v>
      </c>
      <c r="I721">
        <v>3</v>
      </c>
      <c r="J721">
        <v>100</v>
      </c>
      <c r="K721">
        <v>0</v>
      </c>
      <c r="L721" t="s">
        <v>70</v>
      </c>
    </row>
    <row r="722" spans="1:13" x14ac:dyDescent="0.3">
      <c r="A722" t="s">
        <v>1512</v>
      </c>
      <c r="B722" t="s">
        <v>1513</v>
      </c>
      <c r="C722" t="str">
        <f t="shared" si="16"/>
        <v>Rachel Rogers</v>
      </c>
      <c r="D722" t="s">
        <v>37</v>
      </c>
      <c r="E722">
        <v>52</v>
      </c>
      <c r="F722" t="s">
        <v>108</v>
      </c>
      <c r="G722" t="s">
        <v>109</v>
      </c>
      <c r="H722" t="s">
        <v>69</v>
      </c>
      <c r="I722">
        <v>30</v>
      </c>
      <c r="J722">
        <v>75</v>
      </c>
      <c r="L722" t="s">
        <v>154</v>
      </c>
      <c r="M722" s="1">
        <v>0.94</v>
      </c>
    </row>
    <row r="723" spans="1:13" x14ac:dyDescent="0.3">
      <c r="A723" t="s">
        <v>1514</v>
      </c>
      <c r="B723" t="s">
        <v>1515</v>
      </c>
      <c r="C723" t="str">
        <f t="shared" si="16"/>
        <v>Travis Braun</v>
      </c>
      <c r="D723" t="s">
        <v>58</v>
      </c>
      <c r="E723">
        <v>57</v>
      </c>
      <c r="F723" t="s">
        <v>184</v>
      </c>
      <c r="G723" t="s">
        <v>68</v>
      </c>
      <c r="H723" t="s">
        <v>16</v>
      </c>
      <c r="I723">
        <v>11</v>
      </c>
      <c r="J723" t="s">
        <v>307</v>
      </c>
      <c r="K723">
        <v>4.9000000000000004</v>
      </c>
      <c r="L723" t="s">
        <v>70</v>
      </c>
    </row>
    <row r="724" spans="1:13" x14ac:dyDescent="0.3">
      <c r="A724" t="s">
        <v>1516</v>
      </c>
      <c r="B724" t="s">
        <v>1517</v>
      </c>
      <c r="C724" t="str">
        <f t="shared" si="16"/>
        <v>Shawna Palmer</v>
      </c>
      <c r="D724" t="s">
        <v>37</v>
      </c>
      <c r="E724">
        <v>53</v>
      </c>
      <c r="F724" t="s">
        <v>173</v>
      </c>
      <c r="G724" t="s">
        <v>68</v>
      </c>
      <c r="H724" t="s">
        <v>85</v>
      </c>
      <c r="I724">
        <v>8</v>
      </c>
      <c r="J724">
        <v>20</v>
      </c>
      <c r="K724">
        <v>2.8</v>
      </c>
      <c r="L724" t="b">
        <v>1</v>
      </c>
    </row>
    <row r="725" spans="1:13" x14ac:dyDescent="0.3">
      <c r="A725" t="s">
        <v>1518</v>
      </c>
      <c r="B725" t="s">
        <v>1519</v>
      </c>
      <c r="C725" t="str">
        <f t="shared" si="16"/>
        <v>Bradley Gaines</v>
      </c>
      <c r="D725" t="s">
        <v>45</v>
      </c>
      <c r="E725">
        <v>51</v>
      </c>
      <c r="F725" t="s">
        <v>59</v>
      </c>
      <c r="G725" t="s">
        <v>60</v>
      </c>
      <c r="H725" t="s">
        <v>69</v>
      </c>
      <c r="I725">
        <v>11</v>
      </c>
      <c r="J725" t="s">
        <v>105</v>
      </c>
      <c r="K725">
        <v>3.6</v>
      </c>
      <c r="L725" t="s">
        <v>70</v>
      </c>
      <c r="M725" s="1">
        <v>0.77</v>
      </c>
    </row>
    <row r="726" spans="1:13" x14ac:dyDescent="0.3">
      <c r="A726" t="s">
        <v>1520</v>
      </c>
      <c r="B726" t="s">
        <v>1521</v>
      </c>
      <c r="C726" t="str">
        <f t="shared" si="16"/>
        <v>April Ford</v>
      </c>
      <c r="D726" t="s">
        <v>19</v>
      </c>
      <c r="E726">
        <v>37</v>
      </c>
      <c r="F726" t="s">
        <v>123</v>
      </c>
      <c r="G726" t="s">
        <v>21</v>
      </c>
      <c r="H726" t="s">
        <v>74</v>
      </c>
      <c r="I726">
        <v>9</v>
      </c>
      <c r="J726" s="2">
        <v>50</v>
      </c>
      <c r="L726" t="s">
        <v>64</v>
      </c>
      <c r="M726">
        <v>84</v>
      </c>
    </row>
    <row r="727" spans="1:13" x14ac:dyDescent="0.3">
      <c r="A727" t="s">
        <v>1522</v>
      </c>
      <c r="B727" t="s">
        <v>1523</v>
      </c>
      <c r="C727" t="str">
        <f t="shared" si="16"/>
        <v>James Gonzalez</v>
      </c>
      <c r="D727" t="s">
        <v>58</v>
      </c>
      <c r="E727">
        <v>40</v>
      </c>
      <c r="F727" t="s">
        <v>184</v>
      </c>
      <c r="G727" t="s">
        <v>68</v>
      </c>
      <c r="H727" t="s">
        <v>34</v>
      </c>
      <c r="I727">
        <v>7</v>
      </c>
      <c r="J727">
        <v>40</v>
      </c>
      <c r="K727">
        <v>4.5</v>
      </c>
      <c r="M727">
        <v>79</v>
      </c>
    </row>
    <row r="728" spans="1:13" x14ac:dyDescent="0.3">
      <c r="A728" t="s">
        <v>1524</v>
      </c>
      <c r="B728" t="s">
        <v>1525</v>
      </c>
      <c r="C728" t="str">
        <f t="shared" si="16"/>
        <v>John Castillo</v>
      </c>
      <c r="D728" t="s">
        <v>45</v>
      </c>
      <c r="E728">
        <v>60</v>
      </c>
      <c r="F728" t="s">
        <v>81</v>
      </c>
      <c r="G728" t="s">
        <v>82</v>
      </c>
      <c r="H728" t="s">
        <v>48</v>
      </c>
      <c r="I728">
        <v>24</v>
      </c>
      <c r="J728" t="s">
        <v>52</v>
      </c>
      <c r="K728">
        <v>3.1</v>
      </c>
      <c r="L728">
        <v>0</v>
      </c>
      <c r="M728" s="1">
        <v>0.69</v>
      </c>
    </row>
    <row r="729" spans="1:13" x14ac:dyDescent="0.3">
      <c r="A729" t="s">
        <v>1526</v>
      </c>
      <c r="B729" t="s">
        <v>1527</v>
      </c>
      <c r="C729" t="str">
        <f t="shared" si="16"/>
        <v>Ian Hayes</v>
      </c>
      <c r="D729" t="s">
        <v>88</v>
      </c>
      <c r="E729">
        <v>60</v>
      </c>
      <c r="F729" t="s">
        <v>130</v>
      </c>
      <c r="G729" t="s">
        <v>131</v>
      </c>
      <c r="H729" t="s">
        <v>69</v>
      </c>
      <c r="I729">
        <v>0</v>
      </c>
      <c r="J729">
        <v>40</v>
      </c>
      <c r="K729">
        <v>4.9000000000000004</v>
      </c>
      <c r="L729" t="s">
        <v>70</v>
      </c>
      <c r="M729" s="1">
        <v>0.68</v>
      </c>
    </row>
    <row r="730" spans="1:13" x14ac:dyDescent="0.3">
      <c r="A730" t="s">
        <v>1528</v>
      </c>
      <c r="B730" t="s">
        <v>1529</v>
      </c>
      <c r="C730" t="str">
        <f t="shared" si="16"/>
        <v>Christine Castro</v>
      </c>
      <c r="D730" t="s">
        <v>73</v>
      </c>
      <c r="E730">
        <v>53</v>
      </c>
      <c r="F730" t="s">
        <v>108</v>
      </c>
      <c r="G730" t="s">
        <v>109</v>
      </c>
      <c r="H730" t="s">
        <v>69</v>
      </c>
      <c r="I730">
        <v>21</v>
      </c>
      <c r="J730" s="2">
        <v>30</v>
      </c>
      <c r="K730">
        <v>4.2</v>
      </c>
      <c r="L730">
        <v>1</v>
      </c>
      <c r="M730">
        <v>73</v>
      </c>
    </row>
    <row r="731" spans="1:13" x14ac:dyDescent="0.3">
      <c r="A731" t="s">
        <v>1530</v>
      </c>
      <c r="B731" t="s">
        <v>1531</v>
      </c>
      <c r="C731" t="str">
        <f t="shared" ref="C731:C794" si="17">B731</f>
        <v>Jessica Chaney</v>
      </c>
      <c r="D731" t="s">
        <v>73</v>
      </c>
      <c r="E731">
        <v>20</v>
      </c>
      <c r="F731" t="s">
        <v>173</v>
      </c>
      <c r="G731" t="s">
        <v>68</v>
      </c>
      <c r="H731" t="s">
        <v>16</v>
      </c>
      <c r="I731">
        <v>0</v>
      </c>
      <c r="J731">
        <v>75</v>
      </c>
      <c r="K731">
        <v>3.2</v>
      </c>
      <c r="L731">
        <v>1</v>
      </c>
      <c r="M731" s="1">
        <v>0.74</v>
      </c>
    </row>
    <row r="732" spans="1:13" x14ac:dyDescent="0.3">
      <c r="A732" t="s">
        <v>1532</v>
      </c>
      <c r="B732" t="s">
        <v>1533</v>
      </c>
      <c r="C732" t="str">
        <f t="shared" si="17"/>
        <v>John Gray</v>
      </c>
      <c r="D732" t="s">
        <v>58</v>
      </c>
      <c r="E732">
        <v>42</v>
      </c>
      <c r="F732" t="s">
        <v>119</v>
      </c>
      <c r="G732" t="s">
        <v>120</v>
      </c>
      <c r="H732" t="s">
        <v>34</v>
      </c>
      <c r="I732">
        <v>7</v>
      </c>
      <c r="J732" t="s">
        <v>307</v>
      </c>
      <c r="L732" t="b">
        <v>0</v>
      </c>
      <c r="M732" s="1">
        <v>1</v>
      </c>
    </row>
    <row r="733" spans="1:13" x14ac:dyDescent="0.3">
      <c r="A733" t="s">
        <v>1534</v>
      </c>
      <c r="B733" t="s">
        <v>1535</v>
      </c>
      <c r="C733" t="str">
        <f t="shared" si="17"/>
        <v>Shane Booker</v>
      </c>
      <c r="D733" t="s">
        <v>88</v>
      </c>
      <c r="E733">
        <v>21</v>
      </c>
      <c r="F733" t="s">
        <v>63</v>
      </c>
      <c r="G733" t="s">
        <v>21</v>
      </c>
      <c r="H733" t="s">
        <v>22</v>
      </c>
      <c r="I733">
        <v>3</v>
      </c>
      <c r="J733">
        <v>40</v>
      </c>
      <c r="K733">
        <v>0</v>
      </c>
      <c r="L733">
        <v>0</v>
      </c>
      <c r="M733" s="1">
        <v>0.87</v>
      </c>
    </row>
    <row r="734" spans="1:13" x14ac:dyDescent="0.3">
      <c r="A734" t="s">
        <v>1536</v>
      </c>
      <c r="B734" t="s">
        <v>1537</v>
      </c>
      <c r="C734" t="str">
        <f t="shared" si="17"/>
        <v>Kyle Hall</v>
      </c>
      <c r="D734" t="s">
        <v>45</v>
      </c>
      <c r="E734">
        <v>39</v>
      </c>
      <c r="F734" t="s">
        <v>27</v>
      </c>
      <c r="G734" t="s">
        <v>28</v>
      </c>
      <c r="H734" t="s">
        <v>34</v>
      </c>
      <c r="I734">
        <v>21</v>
      </c>
      <c r="J734">
        <v>100</v>
      </c>
      <c r="K734">
        <v>2.2000000000000002</v>
      </c>
      <c r="L734">
        <v>0</v>
      </c>
      <c r="M734" s="1">
        <v>0.79</v>
      </c>
    </row>
    <row r="735" spans="1:13" x14ac:dyDescent="0.3">
      <c r="A735" t="s">
        <v>1538</v>
      </c>
      <c r="B735" t="s">
        <v>1539</v>
      </c>
      <c r="C735" t="str">
        <f t="shared" si="17"/>
        <v>Ronald Munoz</v>
      </c>
      <c r="D735" t="s">
        <v>45</v>
      </c>
      <c r="E735">
        <v>32</v>
      </c>
      <c r="F735" t="s">
        <v>89</v>
      </c>
      <c r="G735" t="s">
        <v>90</v>
      </c>
      <c r="H735" t="s">
        <v>16</v>
      </c>
      <c r="J735">
        <v>30</v>
      </c>
      <c r="K735">
        <v>1.5</v>
      </c>
      <c r="L735">
        <v>0</v>
      </c>
      <c r="M735" s="1">
        <v>0.68</v>
      </c>
    </row>
    <row r="736" spans="1:13" x14ac:dyDescent="0.3">
      <c r="A736" t="s">
        <v>1540</v>
      </c>
      <c r="B736" t="s">
        <v>1541</v>
      </c>
      <c r="C736" t="str">
        <f t="shared" si="17"/>
        <v>Christopher Long</v>
      </c>
      <c r="D736" t="s">
        <v>88</v>
      </c>
      <c r="E736">
        <v>35</v>
      </c>
      <c r="F736" t="s">
        <v>27</v>
      </c>
      <c r="G736" t="s">
        <v>28</v>
      </c>
      <c r="H736" t="s">
        <v>48</v>
      </c>
      <c r="J736" t="s">
        <v>23</v>
      </c>
      <c r="L736">
        <v>0</v>
      </c>
      <c r="M736" s="1">
        <v>0.84</v>
      </c>
    </row>
    <row r="737" spans="1:13" x14ac:dyDescent="0.3">
      <c r="A737" t="s">
        <v>1542</v>
      </c>
      <c r="B737" t="s">
        <v>1543</v>
      </c>
      <c r="C737" t="str">
        <f t="shared" si="17"/>
        <v>Sandra Ali</v>
      </c>
      <c r="D737" t="s">
        <v>13</v>
      </c>
      <c r="E737">
        <v>35</v>
      </c>
      <c r="F737" t="s">
        <v>130</v>
      </c>
      <c r="G737" t="s">
        <v>131</v>
      </c>
      <c r="H737" t="s">
        <v>69</v>
      </c>
      <c r="I737">
        <v>17</v>
      </c>
      <c r="J737">
        <v>50</v>
      </c>
      <c r="K737">
        <v>3.1</v>
      </c>
      <c r="L737">
        <v>0</v>
      </c>
      <c r="M737" s="1">
        <v>0.71</v>
      </c>
    </row>
    <row r="738" spans="1:13" x14ac:dyDescent="0.3">
      <c r="A738" t="s">
        <v>1544</v>
      </c>
      <c r="B738" t="s">
        <v>1545</v>
      </c>
      <c r="C738" t="str">
        <f t="shared" si="17"/>
        <v>Jessica Garza</v>
      </c>
      <c r="D738" t="s">
        <v>19</v>
      </c>
      <c r="E738">
        <v>23</v>
      </c>
      <c r="F738" t="s">
        <v>67</v>
      </c>
      <c r="G738" t="s">
        <v>68</v>
      </c>
      <c r="H738" t="s">
        <v>69</v>
      </c>
      <c r="I738">
        <v>0</v>
      </c>
      <c r="J738">
        <v>75</v>
      </c>
      <c r="K738">
        <v>0</v>
      </c>
      <c r="L738" t="s">
        <v>154</v>
      </c>
      <c r="M738" s="1">
        <v>0.92</v>
      </c>
    </row>
    <row r="739" spans="1:13" x14ac:dyDescent="0.3">
      <c r="A739" t="s">
        <v>1546</v>
      </c>
      <c r="B739" t="s">
        <v>1547</v>
      </c>
      <c r="C739" t="str">
        <f t="shared" si="17"/>
        <v>Gregory Waters</v>
      </c>
      <c r="D739" t="s">
        <v>88</v>
      </c>
      <c r="E739">
        <v>26</v>
      </c>
      <c r="F739" t="s">
        <v>40</v>
      </c>
      <c r="G739" t="s">
        <v>41</v>
      </c>
      <c r="H739" t="s">
        <v>42</v>
      </c>
      <c r="I739">
        <v>6</v>
      </c>
      <c r="J739" t="s">
        <v>23</v>
      </c>
      <c r="L739" t="s">
        <v>154</v>
      </c>
      <c r="M739" s="1">
        <v>0.69</v>
      </c>
    </row>
    <row r="740" spans="1:13" x14ac:dyDescent="0.3">
      <c r="A740" t="s">
        <v>1548</v>
      </c>
      <c r="B740" t="s">
        <v>1549</v>
      </c>
      <c r="C740" t="str">
        <f t="shared" si="17"/>
        <v>Misty Adams</v>
      </c>
      <c r="D740" t="s">
        <v>33</v>
      </c>
      <c r="E740">
        <v>34</v>
      </c>
      <c r="F740" t="s">
        <v>123</v>
      </c>
      <c r="G740" t="s">
        <v>21</v>
      </c>
      <c r="H740" t="s">
        <v>110</v>
      </c>
      <c r="I740">
        <v>3</v>
      </c>
      <c r="K740">
        <v>0</v>
      </c>
      <c r="L740">
        <v>1</v>
      </c>
      <c r="M740" s="1">
        <v>0.71</v>
      </c>
    </row>
    <row r="741" spans="1:13" x14ac:dyDescent="0.3">
      <c r="A741" t="s">
        <v>1550</v>
      </c>
      <c r="B741" t="s">
        <v>1551</v>
      </c>
      <c r="C741" t="str">
        <f t="shared" si="17"/>
        <v>Megan Brown</v>
      </c>
      <c r="D741" t="s">
        <v>73</v>
      </c>
      <c r="E741">
        <v>34</v>
      </c>
      <c r="F741" t="s">
        <v>27</v>
      </c>
      <c r="G741" t="s">
        <v>28</v>
      </c>
      <c r="H741" t="s">
        <v>16</v>
      </c>
      <c r="I741">
        <v>3</v>
      </c>
      <c r="L741" t="b">
        <v>0</v>
      </c>
      <c r="M741" s="1">
        <v>0.77</v>
      </c>
    </row>
    <row r="742" spans="1:13" x14ac:dyDescent="0.3">
      <c r="A742" t="s">
        <v>1552</v>
      </c>
      <c r="B742" t="s">
        <v>1553</v>
      </c>
      <c r="C742" t="str">
        <f t="shared" si="17"/>
        <v>Gregory Brown</v>
      </c>
      <c r="D742" t="s">
        <v>45</v>
      </c>
      <c r="E742">
        <v>57</v>
      </c>
      <c r="F742" t="s">
        <v>14</v>
      </c>
      <c r="G742" t="s">
        <v>15</v>
      </c>
      <c r="H742" t="s">
        <v>34</v>
      </c>
      <c r="I742">
        <v>31</v>
      </c>
      <c r="J742">
        <v>50</v>
      </c>
      <c r="K742">
        <v>3</v>
      </c>
      <c r="L742" t="b">
        <v>1</v>
      </c>
      <c r="M742" s="1">
        <v>0.87</v>
      </c>
    </row>
    <row r="743" spans="1:13" x14ac:dyDescent="0.3">
      <c r="A743" t="s">
        <v>1554</v>
      </c>
      <c r="B743" t="s">
        <v>1555</v>
      </c>
      <c r="C743" t="str">
        <f t="shared" si="17"/>
        <v>Scott Alexander MD</v>
      </c>
      <c r="D743" t="s">
        <v>58</v>
      </c>
      <c r="E743">
        <v>46</v>
      </c>
      <c r="F743" t="s">
        <v>123</v>
      </c>
      <c r="G743" t="s">
        <v>21</v>
      </c>
      <c r="H743" t="s">
        <v>34</v>
      </c>
      <c r="I743">
        <v>5</v>
      </c>
      <c r="J743" s="2">
        <v>30</v>
      </c>
      <c r="K743">
        <v>2.6</v>
      </c>
      <c r="L743" t="s">
        <v>154</v>
      </c>
      <c r="M743" s="1">
        <v>0.76</v>
      </c>
    </row>
    <row r="744" spans="1:13" x14ac:dyDescent="0.3">
      <c r="A744" t="s">
        <v>1556</v>
      </c>
      <c r="B744" t="s">
        <v>1557</v>
      </c>
      <c r="C744" t="str">
        <f t="shared" si="17"/>
        <v>Eric Nguyen</v>
      </c>
      <c r="D744" t="s">
        <v>26</v>
      </c>
      <c r="E744">
        <v>55</v>
      </c>
      <c r="F744" t="s">
        <v>89</v>
      </c>
      <c r="G744" t="s">
        <v>90</v>
      </c>
      <c r="H744" t="s">
        <v>42</v>
      </c>
      <c r="I744">
        <v>37</v>
      </c>
      <c r="J744" t="s">
        <v>49</v>
      </c>
      <c r="K744">
        <v>4.0999999999999996</v>
      </c>
      <c r="L744" t="s">
        <v>154</v>
      </c>
    </row>
    <row r="745" spans="1:13" x14ac:dyDescent="0.3">
      <c r="A745" t="s">
        <v>1558</v>
      </c>
      <c r="B745" t="s">
        <v>1559</v>
      </c>
      <c r="C745" t="str">
        <f t="shared" si="17"/>
        <v>Wendy Boyer</v>
      </c>
      <c r="D745" t="s">
        <v>19</v>
      </c>
      <c r="E745">
        <v>32</v>
      </c>
      <c r="F745" t="s">
        <v>20</v>
      </c>
      <c r="G745" t="s">
        <v>21</v>
      </c>
      <c r="H745" t="s">
        <v>85</v>
      </c>
      <c r="I745">
        <v>10</v>
      </c>
      <c r="J745" t="s">
        <v>94</v>
      </c>
      <c r="K745">
        <v>1.5</v>
      </c>
      <c r="L745" t="b">
        <v>0</v>
      </c>
      <c r="M745" s="1">
        <v>0.65</v>
      </c>
    </row>
    <row r="746" spans="1:13" x14ac:dyDescent="0.3">
      <c r="A746" t="s">
        <v>1560</v>
      </c>
      <c r="B746" t="s">
        <v>1561</v>
      </c>
      <c r="C746" t="str">
        <f t="shared" si="17"/>
        <v>Mark Clark</v>
      </c>
      <c r="D746" t="s">
        <v>88</v>
      </c>
      <c r="E746">
        <v>53</v>
      </c>
      <c r="F746" t="s">
        <v>46</v>
      </c>
      <c r="G746" t="s">
        <v>47</v>
      </c>
      <c r="H746" t="s">
        <v>42</v>
      </c>
      <c r="I746">
        <v>28</v>
      </c>
      <c r="J746" t="s">
        <v>94</v>
      </c>
      <c r="K746">
        <v>2.9</v>
      </c>
      <c r="L746" t="s">
        <v>64</v>
      </c>
      <c r="M746" s="1">
        <v>0.82</v>
      </c>
    </row>
    <row r="747" spans="1:13" x14ac:dyDescent="0.3">
      <c r="A747" t="s">
        <v>1562</v>
      </c>
      <c r="B747" t="s">
        <v>1563</v>
      </c>
      <c r="C747" t="str">
        <f t="shared" si="17"/>
        <v>Carl Kline</v>
      </c>
      <c r="D747" t="s">
        <v>26</v>
      </c>
      <c r="E747">
        <v>59</v>
      </c>
      <c r="F747" t="s">
        <v>173</v>
      </c>
      <c r="G747" t="s">
        <v>68</v>
      </c>
      <c r="H747" t="s">
        <v>42</v>
      </c>
      <c r="I747">
        <v>0</v>
      </c>
      <c r="J747">
        <v>100</v>
      </c>
      <c r="K747">
        <v>0</v>
      </c>
      <c r="L747" t="s">
        <v>70</v>
      </c>
      <c r="M747">
        <v>87</v>
      </c>
    </row>
    <row r="748" spans="1:13" x14ac:dyDescent="0.3">
      <c r="A748" t="s">
        <v>1564</v>
      </c>
      <c r="B748" t="s">
        <v>1565</v>
      </c>
      <c r="C748" t="str">
        <f t="shared" si="17"/>
        <v>Linda Williams</v>
      </c>
      <c r="D748" t="s">
        <v>33</v>
      </c>
      <c r="E748">
        <v>44</v>
      </c>
      <c r="F748" t="s">
        <v>40</v>
      </c>
      <c r="G748" t="s">
        <v>41</v>
      </c>
      <c r="H748" t="s">
        <v>110</v>
      </c>
      <c r="I748">
        <v>19</v>
      </c>
      <c r="J748" s="2">
        <v>40</v>
      </c>
      <c r="K748">
        <v>4.9000000000000004</v>
      </c>
      <c r="L748" t="s">
        <v>30</v>
      </c>
      <c r="M748" s="1">
        <v>1</v>
      </c>
    </row>
    <row r="749" spans="1:13" x14ac:dyDescent="0.3">
      <c r="A749" t="s">
        <v>1566</v>
      </c>
      <c r="B749" t="s">
        <v>1567</v>
      </c>
      <c r="C749" t="str">
        <f t="shared" si="17"/>
        <v>Jason Edwards</v>
      </c>
      <c r="D749" t="s">
        <v>93</v>
      </c>
      <c r="E749">
        <v>35</v>
      </c>
      <c r="F749" t="s">
        <v>134</v>
      </c>
      <c r="G749" t="s">
        <v>135</v>
      </c>
      <c r="H749" t="s">
        <v>16</v>
      </c>
      <c r="I749">
        <v>9</v>
      </c>
      <c r="J749" t="s">
        <v>94</v>
      </c>
      <c r="K749">
        <v>3</v>
      </c>
      <c r="L749" t="s">
        <v>30</v>
      </c>
      <c r="M749">
        <v>71</v>
      </c>
    </row>
    <row r="750" spans="1:13" x14ac:dyDescent="0.3">
      <c r="A750" t="s">
        <v>1568</v>
      </c>
      <c r="B750" t="s">
        <v>1569</v>
      </c>
      <c r="C750" t="str">
        <f t="shared" si="17"/>
        <v>Madison Mcintosh</v>
      </c>
      <c r="D750" t="s">
        <v>13</v>
      </c>
      <c r="E750">
        <v>42</v>
      </c>
      <c r="F750" t="s">
        <v>169</v>
      </c>
      <c r="G750" t="s">
        <v>170</v>
      </c>
      <c r="H750" t="s">
        <v>110</v>
      </c>
      <c r="I750">
        <v>5</v>
      </c>
      <c r="J750">
        <v>30</v>
      </c>
      <c r="K750">
        <v>4.9000000000000004</v>
      </c>
      <c r="L750">
        <v>1</v>
      </c>
      <c r="M750">
        <v>87</v>
      </c>
    </row>
    <row r="751" spans="1:13" x14ac:dyDescent="0.3">
      <c r="A751" t="s">
        <v>1570</v>
      </c>
      <c r="B751" t="s">
        <v>1571</v>
      </c>
      <c r="C751" t="str">
        <f t="shared" si="17"/>
        <v>Desiree Winters</v>
      </c>
      <c r="D751" t="s">
        <v>13</v>
      </c>
      <c r="E751">
        <v>58</v>
      </c>
      <c r="F751" t="s">
        <v>108</v>
      </c>
      <c r="G751" t="s">
        <v>109</v>
      </c>
      <c r="H751" t="s">
        <v>16</v>
      </c>
      <c r="I751">
        <v>0</v>
      </c>
      <c r="J751" t="s">
        <v>105</v>
      </c>
      <c r="K751">
        <v>4.5999999999999996</v>
      </c>
      <c r="L751">
        <v>0</v>
      </c>
      <c r="M751">
        <v>70</v>
      </c>
    </row>
    <row r="752" spans="1:13" x14ac:dyDescent="0.3">
      <c r="A752" t="s">
        <v>1572</v>
      </c>
      <c r="B752" t="s">
        <v>1573</v>
      </c>
      <c r="C752" t="str">
        <f t="shared" si="17"/>
        <v>Ryan Taylor</v>
      </c>
      <c r="D752" t="s">
        <v>58</v>
      </c>
      <c r="E752">
        <v>41</v>
      </c>
      <c r="F752" t="s">
        <v>40</v>
      </c>
      <c r="G752" t="s">
        <v>41</v>
      </c>
      <c r="H752" t="s">
        <v>42</v>
      </c>
      <c r="I752">
        <v>21</v>
      </c>
      <c r="J752" t="s">
        <v>23</v>
      </c>
      <c r="K752">
        <v>2.2000000000000002</v>
      </c>
      <c r="L752">
        <v>1</v>
      </c>
      <c r="M752" s="1">
        <v>0.83</v>
      </c>
    </row>
    <row r="753" spans="1:13" x14ac:dyDescent="0.3">
      <c r="A753" t="s">
        <v>1574</v>
      </c>
      <c r="B753" t="s">
        <v>1575</v>
      </c>
      <c r="C753" t="str">
        <f t="shared" si="17"/>
        <v>Patricia Scott</v>
      </c>
      <c r="D753" t="s">
        <v>37</v>
      </c>
      <c r="F753" t="s">
        <v>67</v>
      </c>
      <c r="G753" t="s">
        <v>68</v>
      </c>
      <c r="H753" t="s">
        <v>34</v>
      </c>
      <c r="I753">
        <v>0</v>
      </c>
      <c r="J753">
        <v>40</v>
      </c>
      <c r="L753" t="s">
        <v>70</v>
      </c>
      <c r="M753" s="1">
        <v>0.74</v>
      </c>
    </row>
    <row r="754" spans="1:13" x14ac:dyDescent="0.3">
      <c r="A754" t="s">
        <v>1576</v>
      </c>
      <c r="B754" t="s">
        <v>1577</v>
      </c>
      <c r="C754" t="str">
        <f t="shared" si="17"/>
        <v>Erin Jimenez</v>
      </c>
      <c r="D754" t="s">
        <v>19</v>
      </c>
      <c r="E754">
        <v>23</v>
      </c>
      <c r="F754" t="s">
        <v>123</v>
      </c>
      <c r="G754" t="s">
        <v>21</v>
      </c>
      <c r="H754" t="s">
        <v>16</v>
      </c>
      <c r="I754">
        <v>0</v>
      </c>
      <c r="J754">
        <v>30</v>
      </c>
      <c r="K754">
        <v>1.1000000000000001</v>
      </c>
      <c r="L754" t="s">
        <v>64</v>
      </c>
      <c r="M754" s="1">
        <v>0.86</v>
      </c>
    </row>
    <row r="755" spans="1:13" x14ac:dyDescent="0.3">
      <c r="A755" t="s">
        <v>1578</v>
      </c>
      <c r="B755" t="s">
        <v>1579</v>
      </c>
      <c r="C755" t="str">
        <f t="shared" si="17"/>
        <v>Anthony Krause</v>
      </c>
      <c r="D755" t="s">
        <v>88</v>
      </c>
      <c r="E755">
        <v>51</v>
      </c>
      <c r="F755" t="s">
        <v>169</v>
      </c>
      <c r="G755" t="s">
        <v>170</v>
      </c>
      <c r="H755" t="s">
        <v>16</v>
      </c>
      <c r="I755">
        <v>17</v>
      </c>
      <c r="J755">
        <v>40</v>
      </c>
      <c r="K755">
        <v>4.5</v>
      </c>
      <c r="L755">
        <v>1</v>
      </c>
      <c r="M755" s="1">
        <v>0.72</v>
      </c>
    </row>
    <row r="756" spans="1:13" x14ac:dyDescent="0.3">
      <c r="A756" t="s">
        <v>1580</v>
      </c>
      <c r="B756" t="s">
        <v>1581</v>
      </c>
      <c r="C756" t="str">
        <f t="shared" si="17"/>
        <v>Diane Dean</v>
      </c>
      <c r="D756" t="s">
        <v>19</v>
      </c>
      <c r="E756">
        <v>42</v>
      </c>
      <c r="F756" t="s">
        <v>130</v>
      </c>
      <c r="G756" t="s">
        <v>131</v>
      </c>
      <c r="H756" t="s">
        <v>42</v>
      </c>
      <c r="I756">
        <v>21</v>
      </c>
      <c r="K756">
        <v>2.5</v>
      </c>
      <c r="L756" t="b">
        <v>1</v>
      </c>
      <c r="M756" s="1">
        <v>0.73</v>
      </c>
    </row>
    <row r="757" spans="1:13" x14ac:dyDescent="0.3">
      <c r="A757" t="s">
        <v>1582</v>
      </c>
      <c r="B757" t="s">
        <v>1583</v>
      </c>
      <c r="C757" t="str">
        <f t="shared" si="17"/>
        <v>Stuart Mckinney</v>
      </c>
      <c r="D757" t="s">
        <v>58</v>
      </c>
      <c r="E757">
        <v>26</v>
      </c>
      <c r="F757" t="s">
        <v>81</v>
      </c>
      <c r="G757" t="s">
        <v>82</v>
      </c>
      <c r="H757" t="s">
        <v>48</v>
      </c>
      <c r="I757">
        <v>7</v>
      </c>
      <c r="J757" t="s">
        <v>49</v>
      </c>
      <c r="K757">
        <v>2.9</v>
      </c>
      <c r="L757">
        <v>0</v>
      </c>
      <c r="M757" s="1">
        <v>0.78</v>
      </c>
    </row>
    <row r="758" spans="1:13" x14ac:dyDescent="0.3">
      <c r="A758" t="s">
        <v>1584</v>
      </c>
      <c r="B758" t="s">
        <v>1585</v>
      </c>
      <c r="C758" t="str">
        <f t="shared" si="17"/>
        <v>Kellie Le</v>
      </c>
      <c r="D758" t="s">
        <v>13</v>
      </c>
      <c r="E758">
        <v>49</v>
      </c>
      <c r="F758" t="s">
        <v>46</v>
      </c>
      <c r="G758" t="s">
        <v>47</v>
      </c>
      <c r="H758" t="s">
        <v>42</v>
      </c>
      <c r="I758">
        <v>22</v>
      </c>
      <c r="J758">
        <v>75</v>
      </c>
      <c r="K758">
        <v>0</v>
      </c>
      <c r="L758" t="b">
        <v>1</v>
      </c>
    </row>
    <row r="759" spans="1:13" x14ac:dyDescent="0.3">
      <c r="A759" t="s">
        <v>1586</v>
      </c>
      <c r="B759" t="s">
        <v>1587</v>
      </c>
      <c r="C759" t="str">
        <f t="shared" si="17"/>
        <v>Lauren Henry</v>
      </c>
      <c r="D759" t="s">
        <v>37</v>
      </c>
      <c r="E759">
        <v>37</v>
      </c>
      <c r="F759" t="s">
        <v>14</v>
      </c>
      <c r="G759" t="s">
        <v>15</v>
      </c>
      <c r="H759" t="s">
        <v>85</v>
      </c>
      <c r="J759" t="s">
        <v>49</v>
      </c>
      <c r="K759">
        <v>3.5</v>
      </c>
      <c r="L759" t="s">
        <v>30</v>
      </c>
      <c r="M759" s="1">
        <v>0.75</v>
      </c>
    </row>
    <row r="760" spans="1:13" x14ac:dyDescent="0.3">
      <c r="A760" t="s">
        <v>1588</v>
      </c>
      <c r="B760" t="s">
        <v>1589</v>
      </c>
      <c r="C760" t="str">
        <f t="shared" si="17"/>
        <v>Brandon Fox</v>
      </c>
      <c r="D760" t="s">
        <v>88</v>
      </c>
      <c r="E760">
        <v>31</v>
      </c>
      <c r="F760" t="s">
        <v>20</v>
      </c>
      <c r="G760" t="s">
        <v>21</v>
      </c>
      <c r="H760" t="s">
        <v>42</v>
      </c>
      <c r="I760">
        <v>1</v>
      </c>
      <c r="J760">
        <v>40</v>
      </c>
      <c r="K760">
        <v>4.5</v>
      </c>
      <c r="L760">
        <v>0</v>
      </c>
      <c r="M760" s="1">
        <v>0.96</v>
      </c>
    </row>
    <row r="761" spans="1:13" x14ac:dyDescent="0.3">
      <c r="A761" t="s">
        <v>1590</v>
      </c>
      <c r="B761" t="s">
        <v>1591</v>
      </c>
      <c r="C761" t="str">
        <f t="shared" si="17"/>
        <v>Richard Smith</v>
      </c>
      <c r="D761" t="s">
        <v>58</v>
      </c>
      <c r="E761">
        <v>51</v>
      </c>
      <c r="F761" t="s">
        <v>108</v>
      </c>
      <c r="G761" t="s">
        <v>109</v>
      </c>
      <c r="H761" t="s">
        <v>22</v>
      </c>
      <c r="I761">
        <v>5</v>
      </c>
      <c r="J761" t="s">
        <v>52</v>
      </c>
      <c r="K761">
        <v>1.7</v>
      </c>
      <c r="L761" t="s">
        <v>64</v>
      </c>
      <c r="M761" s="1">
        <v>0.61</v>
      </c>
    </row>
    <row r="762" spans="1:13" x14ac:dyDescent="0.3">
      <c r="A762" t="s">
        <v>1592</v>
      </c>
      <c r="B762" t="s">
        <v>1593</v>
      </c>
      <c r="C762" t="str">
        <f t="shared" si="17"/>
        <v>John White</v>
      </c>
      <c r="D762" t="s">
        <v>45</v>
      </c>
      <c r="E762">
        <v>60</v>
      </c>
      <c r="F762" t="s">
        <v>169</v>
      </c>
      <c r="G762" t="s">
        <v>170</v>
      </c>
      <c r="H762" t="s">
        <v>85</v>
      </c>
      <c r="I762">
        <v>40</v>
      </c>
      <c r="J762">
        <v>50</v>
      </c>
      <c r="K762">
        <v>4.5999999999999996</v>
      </c>
      <c r="L762" t="b">
        <v>1</v>
      </c>
      <c r="M762" s="1">
        <v>1</v>
      </c>
    </row>
    <row r="763" spans="1:13" x14ac:dyDescent="0.3">
      <c r="A763" t="s">
        <v>1594</v>
      </c>
      <c r="B763" t="s">
        <v>1595</v>
      </c>
      <c r="C763" t="str">
        <f t="shared" si="17"/>
        <v>Gilbert Mcintyre</v>
      </c>
      <c r="D763" t="s">
        <v>88</v>
      </c>
      <c r="E763">
        <v>51</v>
      </c>
      <c r="F763" t="s">
        <v>123</v>
      </c>
      <c r="G763" t="s">
        <v>21</v>
      </c>
      <c r="H763" t="s">
        <v>16</v>
      </c>
      <c r="I763">
        <v>19</v>
      </c>
      <c r="J763">
        <v>50</v>
      </c>
      <c r="L763" t="s">
        <v>70</v>
      </c>
      <c r="M763" s="1">
        <v>0.82</v>
      </c>
    </row>
    <row r="764" spans="1:13" x14ac:dyDescent="0.3">
      <c r="A764" t="s">
        <v>1596</v>
      </c>
      <c r="B764" t="s">
        <v>1597</v>
      </c>
      <c r="C764" t="str">
        <f t="shared" si="17"/>
        <v>Christopher Sparks</v>
      </c>
      <c r="D764" t="s">
        <v>45</v>
      </c>
      <c r="E764">
        <v>37</v>
      </c>
      <c r="F764" t="s">
        <v>27</v>
      </c>
      <c r="G764" t="s">
        <v>28</v>
      </c>
      <c r="H764" t="s">
        <v>29</v>
      </c>
      <c r="I764">
        <v>12</v>
      </c>
      <c r="K764">
        <v>4.9000000000000004</v>
      </c>
      <c r="L764">
        <v>1</v>
      </c>
      <c r="M764" s="1">
        <v>0.8</v>
      </c>
    </row>
    <row r="765" spans="1:13" x14ac:dyDescent="0.3">
      <c r="A765" t="s">
        <v>1598</v>
      </c>
      <c r="B765" t="s">
        <v>1599</v>
      </c>
      <c r="C765" t="str">
        <f t="shared" si="17"/>
        <v>Aaron Hicks</v>
      </c>
      <c r="D765" t="s">
        <v>26</v>
      </c>
      <c r="E765">
        <v>52</v>
      </c>
      <c r="F765" t="s">
        <v>89</v>
      </c>
      <c r="G765" t="s">
        <v>90</v>
      </c>
      <c r="H765" t="s">
        <v>16</v>
      </c>
      <c r="I765">
        <v>7</v>
      </c>
      <c r="J765">
        <v>40</v>
      </c>
      <c r="K765">
        <v>2.2000000000000002</v>
      </c>
      <c r="M765" s="1">
        <v>0.96</v>
      </c>
    </row>
    <row r="766" spans="1:13" x14ac:dyDescent="0.3">
      <c r="A766" t="s">
        <v>1600</v>
      </c>
      <c r="B766" t="s">
        <v>1601</v>
      </c>
      <c r="C766" t="str">
        <f t="shared" si="17"/>
        <v>Jose Patterson</v>
      </c>
      <c r="D766" t="s">
        <v>45</v>
      </c>
      <c r="E766">
        <v>27</v>
      </c>
      <c r="F766" t="s">
        <v>46</v>
      </c>
      <c r="G766" t="s">
        <v>47</v>
      </c>
      <c r="H766" t="s">
        <v>16</v>
      </c>
      <c r="I766">
        <v>4</v>
      </c>
      <c r="J766">
        <v>20</v>
      </c>
      <c r="L766">
        <v>0</v>
      </c>
      <c r="M766" s="1">
        <v>0.63</v>
      </c>
    </row>
    <row r="767" spans="1:13" x14ac:dyDescent="0.3">
      <c r="A767" t="s">
        <v>1602</v>
      </c>
      <c r="B767" t="s">
        <v>1603</v>
      </c>
      <c r="C767" t="str">
        <f t="shared" si="17"/>
        <v>Bryan Long</v>
      </c>
      <c r="D767" t="s">
        <v>45</v>
      </c>
      <c r="E767">
        <v>48</v>
      </c>
      <c r="F767" t="s">
        <v>20</v>
      </c>
      <c r="G767" t="s">
        <v>21</v>
      </c>
      <c r="H767" t="s">
        <v>29</v>
      </c>
      <c r="I767">
        <v>24</v>
      </c>
      <c r="J767" s="2">
        <v>40</v>
      </c>
      <c r="K767">
        <v>2.2000000000000002</v>
      </c>
      <c r="L767">
        <v>0</v>
      </c>
      <c r="M767" s="1">
        <v>0.67</v>
      </c>
    </row>
    <row r="768" spans="1:13" x14ac:dyDescent="0.3">
      <c r="A768" t="s">
        <v>1604</v>
      </c>
      <c r="B768" t="s">
        <v>1605</v>
      </c>
      <c r="C768" t="str">
        <f t="shared" si="17"/>
        <v>Tammy Gomez</v>
      </c>
      <c r="D768" t="s">
        <v>33</v>
      </c>
      <c r="E768">
        <v>22</v>
      </c>
      <c r="F768" t="s">
        <v>81</v>
      </c>
      <c r="G768" t="s">
        <v>82</v>
      </c>
      <c r="H768" t="s">
        <v>48</v>
      </c>
      <c r="I768">
        <v>1</v>
      </c>
      <c r="J768" t="s">
        <v>105</v>
      </c>
      <c r="K768">
        <v>3.3</v>
      </c>
      <c r="L768">
        <v>1</v>
      </c>
      <c r="M768" s="1">
        <v>0.61</v>
      </c>
    </row>
    <row r="769" spans="1:13" x14ac:dyDescent="0.3">
      <c r="A769" t="s">
        <v>1606</v>
      </c>
      <c r="B769" t="s">
        <v>1607</v>
      </c>
      <c r="C769" t="str">
        <f t="shared" si="17"/>
        <v>Diana Raymond</v>
      </c>
      <c r="D769" t="s">
        <v>19</v>
      </c>
      <c r="E769">
        <v>48</v>
      </c>
      <c r="F769" t="s">
        <v>27</v>
      </c>
      <c r="G769" t="s">
        <v>28</v>
      </c>
      <c r="H769" t="s">
        <v>22</v>
      </c>
      <c r="I769">
        <v>28</v>
      </c>
      <c r="J769" t="s">
        <v>105</v>
      </c>
      <c r="K769">
        <v>4.9000000000000004</v>
      </c>
      <c r="L769">
        <v>0</v>
      </c>
      <c r="M769" s="1">
        <v>0.77</v>
      </c>
    </row>
    <row r="770" spans="1:13" x14ac:dyDescent="0.3">
      <c r="A770" t="s">
        <v>1608</v>
      </c>
      <c r="B770" t="s">
        <v>1609</v>
      </c>
      <c r="C770" t="str">
        <f t="shared" si="17"/>
        <v>Jessica Armstrong</v>
      </c>
      <c r="D770" t="s">
        <v>33</v>
      </c>
      <c r="E770">
        <v>54</v>
      </c>
      <c r="F770" t="s">
        <v>55</v>
      </c>
      <c r="G770" t="s">
        <v>21</v>
      </c>
      <c r="H770" t="s">
        <v>22</v>
      </c>
      <c r="I770">
        <v>19</v>
      </c>
      <c r="J770">
        <v>75</v>
      </c>
      <c r="K770">
        <v>0</v>
      </c>
    </row>
    <row r="771" spans="1:13" x14ac:dyDescent="0.3">
      <c r="A771" t="s">
        <v>1610</v>
      </c>
      <c r="B771" t="s">
        <v>1611</v>
      </c>
      <c r="C771" t="str">
        <f t="shared" si="17"/>
        <v>Amanda Martin</v>
      </c>
      <c r="D771" t="s">
        <v>73</v>
      </c>
      <c r="E771">
        <v>52</v>
      </c>
      <c r="F771" t="s">
        <v>108</v>
      </c>
      <c r="G771" t="s">
        <v>109</v>
      </c>
      <c r="H771" t="s">
        <v>48</v>
      </c>
      <c r="I771">
        <v>4</v>
      </c>
      <c r="J771">
        <v>50</v>
      </c>
      <c r="L771" t="s">
        <v>30</v>
      </c>
      <c r="M771" s="1">
        <v>0.84</v>
      </c>
    </row>
    <row r="772" spans="1:13" x14ac:dyDescent="0.3">
      <c r="A772" t="s">
        <v>1612</v>
      </c>
      <c r="B772" t="s">
        <v>1613</v>
      </c>
      <c r="C772" t="str">
        <f t="shared" si="17"/>
        <v>Anne Hamilton</v>
      </c>
      <c r="D772" t="s">
        <v>37</v>
      </c>
      <c r="E772">
        <v>39</v>
      </c>
      <c r="F772" t="s">
        <v>59</v>
      </c>
      <c r="G772" t="s">
        <v>60</v>
      </c>
      <c r="H772" t="s">
        <v>34</v>
      </c>
      <c r="I772">
        <v>20</v>
      </c>
      <c r="J772" t="s">
        <v>23</v>
      </c>
      <c r="L772" t="s">
        <v>70</v>
      </c>
      <c r="M772" s="1">
        <v>0.89</v>
      </c>
    </row>
    <row r="773" spans="1:13" x14ac:dyDescent="0.3">
      <c r="A773" t="s">
        <v>1614</v>
      </c>
      <c r="B773" t="s">
        <v>1615</v>
      </c>
      <c r="C773" t="str">
        <f t="shared" si="17"/>
        <v>Heather Curtis</v>
      </c>
      <c r="D773" t="s">
        <v>13</v>
      </c>
      <c r="E773">
        <v>54</v>
      </c>
      <c r="F773" t="s">
        <v>119</v>
      </c>
      <c r="G773" t="s">
        <v>120</v>
      </c>
      <c r="H773" t="s">
        <v>22</v>
      </c>
      <c r="I773">
        <v>19</v>
      </c>
      <c r="J773" t="s">
        <v>105</v>
      </c>
      <c r="K773">
        <v>4</v>
      </c>
      <c r="M773" s="1">
        <v>0.9</v>
      </c>
    </row>
    <row r="774" spans="1:13" x14ac:dyDescent="0.3">
      <c r="A774" t="s">
        <v>1616</v>
      </c>
      <c r="B774" t="s">
        <v>1617</v>
      </c>
      <c r="C774" t="str">
        <f t="shared" si="17"/>
        <v>Tiffany Moses</v>
      </c>
      <c r="D774" t="s">
        <v>73</v>
      </c>
      <c r="E774">
        <v>22</v>
      </c>
      <c r="F774" t="s">
        <v>55</v>
      </c>
      <c r="G774" t="s">
        <v>21</v>
      </c>
      <c r="H774" t="s">
        <v>74</v>
      </c>
      <c r="I774">
        <v>1</v>
      </c>
      <c r="J774">
        <v>20</v>
      </c>
      <c r="K774">
        <v>4.8</v>
      </c>
      <c r="L774" t="b">
        <v>0</v>
      </c>
      <c r="M774" s="1">
        <v>0.87</v>
      </c>
    </row>
    <row r="775" spans="1:13" x14ac:dyDescent="0.3">
      <c r="A775" t="s">
        <v>1618</v>
      </c>
      <c r="B775" t="s">
        <v>1619</v>
      </c>
      <c r="C775" t="str">
        <f t="shared" si="17"/>
        <v>Jacqueline Moon</v>
      </c>
      <c r="D775" t="s">
        <v>19</v>
      </c>
      <c r="E775">
        <v>29</v>
      </c>
      <c r="F775" t="s">
        <v>148</v>
      </c>
      <c r="G775" t="s">
        <v>149</v>
      </c>
      <c r="H775" t="s">
        <v>22</v>
      </c>
      <c r="I775">
        <v>8</v>
      </c>
      <c r="J775">
        <v>50</v>
      </c>
      <c r="K775">
        <v>0</v>
      </c>
      <c r="L775">
        <v>0</v>
      </c>
      <c r="M775" s="1">
        <v>0.77</v>
      </c>
    </row>
    <row r="776" spans="1:13" x14ac:dyDescent="0.3">
      <c r="A776" t="s">
        <v>1620</v>
      </c>
      <c r="B776" t="s">
        <v>1621</v>
      </c>
      <c r="C776" t="str">
        <f t="shared" si="17"/>
        <v>James Campbell</v>
      </c>
      <c r="D776" t="s">
        <v>88</v>
      </c>
      <c r="E776">
        <v>23</v>
      </c>
      <c r="F776" t="s">
        <v>184</v>
      </c>
      <c r="G776" t="s">
        <v>68</v>
      </c>
      <c r="H776" t="s">
        <v>85</v>
      </c>
      <c r="I776">
        <v>3</v>
      </c>
      <c r="J776" t="s">
        <v>105</v>
      </c>
      <c r="K776">
        <v>1.6</v>
      </c>
      <c r="L776" t="s">
        <v>70</v>
      </c>
      <c r="M776" s="1">
        <v>0.72</v>
      </c>
    </row>
    <row r="777" spans="1:13" x14ac:dyDescent="0.3">
      <c r="A777" t="s">
        <v>1622</v>
      </c>
      <c r="B777" t="s">
        <v>1623</v>
      </c>
      <c r="C777" t="str">
        <f t="shared" si="17"/>
        <v>Melissa Vasquez</v>
      </c>
      <c r="D777" t="s">
        <v>33</v>
      </c>
      <c r="E777">
        <v>58</v>
      </c>
      <c r="F777" t="s">
        <v>173</v>
      </c>
      <c r="G777" t="s">
        <v>68</v>
      </c>
      <c r="H777" t="s">
        <v>85</v>
      </c>
      <c r="I777">
        <v>30</v>
      </c>
      <c r="J777">
        <v>50</v>
      </c>
      <c r="K777">
        <v>1.3</v>
      </c>
      <c r="L777" t="s">
        <v>64</v>
      </c>
      <c r="M777" s="1">
        <v>0.87</v>
      </c>
    </row>
    <row r="778" spans="1:13" x14ac:dyDescent="0.3">
      <c r="A778" t="s">
        <v>1624</v>
      </c>
      <c r="B778" t="s">
        <v>1625</v>
      </c>
      <c r="C778" t="str">
        <f t="shared" si="17"/>
        <v>Katherine Carlson</v>
      </c>
      <c r="D778" t="s">
        <v>13</v>
      </c>
      <c r="E778">
        <v>56</v>
      </c>
      <c r="F778" t="s">
        <v>169</v>
      </c>
      <c r="G778" t="s">
        <v>170</v>
      </c>
      <c r="H778" t="s">
        <v>16</v>
      </c>
      <c r="I778">
        <v>3</v>
      </c>
      <c r="J778">
        <v>40</v>
      </c>
      <c r="K778">
        <v>4.0999999999999996</v>
      </c>
      <c r="L778" t="b">
        <v>1</v>
      </c>
      <c r="M778" s="1">
        <v>0.89</v>
      </c>
    </row>
    <row r="779" spans="1:13" x14ac:dyDescent="0.3">
      <c r="A779" t="s">
        <v>1626</v>
      </c>
      <c r="B779" t="s">
        <v>1627</v>
      </c>
      <c r="C779" t="str">
        <f t="shared" si="17"/>
        <v>Adam Clay</v>
      </c>
      <c r="D779" t="s">
        <v>88</v>
      </c>
      <c r="E779">
        <v>48</v>
      </c>
      <c r="F779" t="s">
        <v>59</v>
      </c>
      <c r="G779" t="s">
        <v>60</v>
      </c>
      <c r="H779" t="s">
        <v>34</v>
      </c>
      <c r="I779">
        <v>19</v>
      </c>
      <c r="J779">
        <v>40</v>
      </c>
      <c r="K779">
        <v>1.5</v>
      </c>
      <c r="L779">
        <v>0</v>
      </c>
      <c r="M779" s="1">
        <v>0.87</v>
      </c>
    </row>
    <row r="780" spans="1:13" x14ac:dyDescent="0.3">
      <c r="A780" t="s">
        <v>1628</v>
      </c>
      <c r="B780" t="s">
        <v>1629</v>
      </c>
      <c r="C780" t="str">
        <f t="shared" si="17"/>
        <v>Amy Combs</v>
      </c>
      <c r="D780" t="s">
        <v>73</v>
      </c>
      <c r="E780">
        <v>31</v>
      </c>
      <c r="F780" t="s">
        <v>119</v>
      </c>
      <c r="G780" t="s">
        <v>120</v>
      </c>
      <c r="H780" t="s">
        <v>22</v>
      </c>
      <c r="I780">
        <v>11</v>
      </c>
      <c r="J780" t="s">
        <v>52</v>
      </c>
      <c r="K780">
        <v>4.3</v>
      </c>
      <c r="L780" t="s">
        <v>70</v>
      </c>
      <c r="M780" s="1">
        <v>0.76</v>
      </c>
    </row>
    <row r="781" spans="1:13" x14ac:dyDescent="0.3">
      <c r="A781" t="s">
        <v>1630</v>
      </c>
      <c r="B781" t="s">
        <v>1631</v>
      </c>
      <c r="C781" t="str">
        <f t="shared" si="17"/>
        <v>Anthony Case</v>
      </c>
      <c r="D781" t="s">
        <v>88</v>
      </c>
      <c r="E781">
        <v>44</v>
      </c>
      <c r="F781" t="s">
        <v>20</v>
      </c>
      <c r="G781" t="s">
        <v>21</v>
      </c>
      <c r="H781" t="s">
        <v>110</v>
      </c>
      <c r="I781">
        <v>26</v>
      </c>
      <c r="J781">
        <v>50</v>
      </c>
      <c r="K781">
        <v>1.6</v>
      </c>
      <c r="M781" s="1">
        <v>1</v>
      </c>
    </row>
    <row r="782" spans="1:13" x14ac:dyDescent="0.3">
      <c r="A782" t="s">
        <v>1632</v>
      </c>
      <c r="B782" t="s">
        <v>1633</v>
      </c>
      <c r="C782" t="str">
        <f t="shared" si="17"/>
        <v>Kimberly Brown</v>
      </c>
      <c r="D782" t="s">
        <v>33</v>
      </c>
      <c r="E782">
        <v>42</v>
      </c>
      <c r="F782" t="s">
        <v>134</v>
      </c>
      <c r="G782" t="s">
        <v>135</v>
      </c>
      <c r="H782" t="s">
        <v>22</v>
      </c>
      <c r="I782">
        <v>10</v>
      </c>
      <c r="J782">
        <v>100</v>
      </c>
      <c r="K782">
        <v>3.7</v>
      </c>
      <c r="L782" t="s">
        <v>70</v>
      </c>
      <c r="M782" s="1">
        <v>0.94</v>
      </c>
    </row>
    <row r="783" spans="1:13" x14ac:dyDescent="0.3">
      <c r="A783" t="s">
        <v>1634</v>
      </c>
      <c r="B783" t="s">
        <v>1635</v>
      </c>
      <c r="C783" t="str">
        <f t="shared" si="17"/>
        <v>Joshua Holloway</v>
      </c>
      <c r="D783" t="s">
        <v>93</v>
      </c>
      <c r="E783">
        <v>59</v>
      </c>
      <c r="F783" t="s">
        <v>55</v>
      </c>
      <c r="G783" t="s">
        <v>21</v>
      </c>
      <c r="H783" t="s">
        <v>74</v>
      </c>
      <c r="I783">
        <v>17</v>
      </c>
      <c r="J783">
        <v>50</v>
      </c>
      <c r="K783">
        <v>1.4</v>
      </c>
      <c r="L783" t="s">
        <v>64</v>
      </c>
    </row>
    <row r="784" spans="1:13" x14ac:dyDescent="0.3">
      <c r="A784" t="s">
        <v>1636</v>
      </c>
      <c r="B784" t="s">
        <v>1637</v>
      </c>
      <c r="C784" t="str">
        <f t="shared" si="17"/>
        <v>Cynthia Walton</v>
      </c>
      <c r="D784" t="s">
        <v>33</v>
      </c>
      <c r="F784" t="s">
        <v>67</v>
      </c>
      <c r="G784" t="s">
        <v>68</v>
      </c>
      <c r="H784" t="s">
        <v>16</v>
      </c>
      <c r="I784">
        <v>9</v>
      </c>
      <c r="J784" s="2">
        <v>100</v>
      </c>
      <c r="K784">
        <v>4.5</v>
      </c>
      <c r="L784" t="s">
        <v>70</v>
      </c>
      <c r="M784">
        <v>83</v>
      </c>
    </row>
    <row r="785" spans="1:13" x14ac:dyDescent="0.3">
      <c r="A785" t="s">
        <v>1638</v>
      </c>
      <c r="B785" t="s">
        <v>1639</v>
      </c>
      <c r="C785" t="str">
        <f t="shared" si="17"/>
        <v>Shawn Delgado</v>
      </c>
      <c r="D785" t="s">
        <v>88</v>
      </c>
      <c r="E785">
        <v>21</v>
      </c>
      <c r="F785" t="s">
        <v>169</v>
      </c>
      <c r="G785" t="s">
        <v>170</v>
      </c>
      <c r="H785" t="s">
        <v>48</v>
      </c>
      <c r="I785">
        <v>0</v>
      </c>
      <c r="J785" t="s">
        <v>52</v>
      </c>
      <c r="K785">
        <v>3.7</v>
      </c>
      <c r="L785">
        <v>0</v>
      </c>
      <c r="M785" s="1">
        <v>0.74</v>
      </c>
    </row>
    <row r="786" spans="1:13" x14ac:dyDescent="0.3">
      <c r="A786" t="s">
        <v>1640</v>
      </c>
      <c r="B786" t="s">
        <v>1641</v>
      </c>
      <c r="C786" t="str">
        <f t="shared" si="17"/>
        <v>Jeremy Smith</v>
      </c>
      <c r="D786" t="s">
        <v>93</v>
      </c>
      <c r="E786">
        <v>53</v>
      </c>
      <c r="F786" t="s">
        <v>63</v>
      </c>
      <c r="G786" t="s">
        <v>21</v>
      </c>
      <c r="H786" t="s">
        <v>85</v>
      </c>
      <c r="I786">
        <v>5</v>
      </c>
      <c r="J786">
        <v>75</v>
      </c>
      <c r="K786">
        <v>1.1000000000000001</v>
      </c>
      <c r="L786">
        <v>0</v>
      </c>
      <c r="M786">
        <v>92</v>
      </c>
    </row>
    <row r="787" spans="1:13" x14ac:dyDescent="0.3">
      <c r="A787" t="s">
        <v>1642</v>
      </c>
      <c r="B787" t="s">
        <v>1643</v>
      </c>
      <c r="C787" t="str">
        <f t="shared" si="17"/>
        <v>Marc Ortiz</v>
      </c>
      <c r="D787" t="s">
        <v>88</v>
      </c>
      <c r="E787">
        <v>35</v>
      </c>
      <c r="F787" t="s">
        <v>67</v>
      </c>
      <c r="G787" t="s">
        <v>68</v>
      </c>
      <c r="H787" t="s">
        <v>22</v>
      </c>
      <c r="I787">
        <v>15</v>
      </c>
      <c r="K787">
        <v>3.7</v>
      </c>
      <c r="L787" t="b">
        <v>0</v>
      </c>
      <c r="M787" s="1">
        <v>0.66</v>
      </c>
    </row>
    <row r="788" spans="1:13" x14ac:dyDescent="0.3">
      <c r="A788" t="s">
        <v>1644</v>
      </c>
      <c r="B788" t="s">
        <v>1645</v>
      </c>
      <c r="C788" t="str">
        <f t="shared" si="17"/>
        <v>Michelle Gregory</v>
      </c>
      <c r="D788" t="s">
        <v>73</v>
      </c>
      <c r="E788">
        <v>25</v>
      </c>
      <c r="F788" t="s">
        <v>103</v>
      </c>
      <c r="G788" t="s">
        <v>104</v>
      </c>
      <c r="H788" t="s">
        <v>110</v>
      </c>
      <c r="I788">
        <v>3</v>
      </c>
      <c r="J788" s="2">
        <v>50</v>
      </c>
      <c r="K788">
        <v>3.2</v>
      </c>
      <c r="L788" t="b">
        <v>1</v>
      </c>
      <c r="M788" s="1">
        <v>0.74</v>
      </c>
    </row>
    <row r="789" spans="1:13" x14ac:dyDescent="0.3">
      <c r="A789" t="s">
        <v>1646</v>
      </c>
      <c r="B789" t="s">
        <v>1647</v>
      </c>
      <c r="C789" t="str">
        <f t="shared" si="17"/>
        <v>Melanie Gay</v>
      </c>
      <c r="D789" t="s">
        <v>37</v>
      </c>
      <c r="E789">
        <v>23</v>
      </c>
      <c r="F789" t="s">
        <v>14</v>
      </c>
      <c r="G789" t="s">
        <v>15</v>
      </c>
      <c r="H789" t="s">
        <v>69</v>
      </c>
      <c r="I789">
        <v>1</v>
      </c>
      <c r="J789">
        <v>30</v>
      </c>
      <c r="K789">
        <v>5</v>
      </c>
      <c r="L789" t="s">
        <v>30</v>
      </c>
      <c r="M789" s="1">
        <v>0.97</v>
      </c>
    </row>
    <row r="790" spans="1:13" x14ac:dyDescent="0.3">
      <c r="A790" t="s">
        <v>1648</v>
      </c>
      <c r="B790" t="s">
        <v>1649</v>
      </c>
      <c r="C790" t="str">
        <f t="shared" si="17"/>
        <v>Brittany Lambert</v>
      </c>
      <c r="D790" t="s">
        <v>33</v>
      </c>
      <c r="E790">
        <v>56</v>
      </c>
      <c r="F790" t="s">
        <v>134</v>
      </c>
      <c r="G790" t="s">
        <v>135</v>
      </c>
      <c r="H790" t="s">
        <v>29</v>
      </c>
      <c r="I790">
        <v>13</v>
      </c>
      <c r="J790">
        <v>30</v>
      </c>
      <c r="K790">
        <v>0</v>
      </c>
      <c r="M790">
        <v>77</v>
      </c>
    </row>
    <row r="791" spans="1:13" x14ac:dyDescent="0.3">
      <c r="A791" t="s">
        <v>1650</v>
      </c>
      <c r="B791" t="s">
        <v>1651</v>
      </c>
      <c r="C791" t="str">
        <f t="shared" si="17"/>
        <v>Mary Hernandez</v>
      </c>
      <c r="D791" t="s">
        <v>37</v>
      </c>
      <c r="E791">
        <v>31</v>
      </c>
      <c r="F791" t="s">
        <v>173</v>
      </c>
      <c r="G791" t="s">
        <v>68</v>
      </c>
      <c r="H791" t="s">
        <v>69</v>
      </c>
      <c r="I791">
        <v>6</v>
      </c>
      <c r="K791">
        <v>3.5</v>
      </c>
      <c r="L791" t="s">
        <v>154</v>
      </c>
      <c r="M791" s="1">
        <v>0.86</v>
      </c>
    </row>
    <row r="792" spans="1:13" x14ac:dyDescent="0.3">
      <c r="A792" t="s">
        <v>1652</v>
      </c>
      <c r="B792" t="s">
        <v>1653</v>
      </c>
      <c r="C792" t="str">
        <f t="shared" si="17"/>
        <v>Jonathan Jones</v>
      </c>
      <c r="D792" t="s">
        <v>88</v>
      </c>
      <c r="E792">
        <v>24</v>
      </c>
      <c r="F792" t="s">
        <v>55</v>
      </c>
      <c r="G792" t="s">
        <v>21</v>
      </c>
      <c r="H792" t="s">
        <v>74</v>
      </c>
      <c r="I792">
        <v>4</v>
      </c>
      <c r="J792">
        <v>50</v>
      </c>
      <c r="K792">
        <v>3.1</v>
      </c>
      <c r="L792" t="b">
        <v>0</v>
      </c>
      <c r="M792" s="1">
        <v>0.95</v>
      </c>
    </row>
    <row r="793" spans="1:13" x14ac:dyDescent="0.3">
      <c r="A793" t="s">
        <v>1654</v>
      </c>
      <c r="B793" t="s">
        <v>1655</v>
      </c>
      <c r="C793" t="str">
        <f t="shared" si="17"/>
        <v>Gina Williams</v>
      </c>
      <c r="D793" t="s">
        <v>19</v>
      </c>
      <c r="E793">
        <v>35</v>
      </c>
      <c r="F793" t="s">
        <v>103</v>
      </c>
      <c r="G793" t="s">
        <v>104</v>
      </c>
      <c r="H793" t="s">
        <v>74</v>
      </c>
      <c r="I793">
        <v>7</v>
      </c>
      <c r="K793">
        <v>3.9</v>
      </c>
      <c r="L793">
        <v>0</v>
      </c>
      <c r="M793" s="1">
        <v>0.72</v>
      </c>
    </row>
    <row r="794" spans="1:13" x14ac:dyDescent="0.3">
      <c r="A794" t="s">
        <v>1656</v>
      </c>
      <c r="B794" t="s">
        <v>1657</v>
      </c>
      <c r="C794" t="str">
        <f t="shared" si="17"/>
        <v>Kelly Lawson</v>
      </c>
      <c r="D794" t="s">
        <v>19</v>
      </c>
      <c r="E794">
        <v>20</v>
      </c>
      <c r="F794" t="s">
        <v>184</v>
      </c>
      <c r="G794" t="s">
        <v>68</v>
      </c>
      <c r="H794" t="s">
        <v>42</v>
      </c>
      <c r="I794">
        <v>1</v>
      </c>
      <c r="K794">
        <v>3.5</v>
      </c>
      <c r="L794">
        <v>0</v>
      </c>
      <c r="M794" s="1">
        <v>0.71</v>
      </c>
    </row>
    <row r="795" spans="1:13" x14ac:dyDescent="0.3">
      <c r="A795" t="s">
        <v>1658</v>
      </c>
      <c r="B795" t="s">
        <v>1659</v>
      </c>
      <c r="C795" t="str">
        <f t="shared" ref="C795:C809" si="18">B795</f>
        <v>Keith Smith</v>
      </c>
      <c r="D795" t="s">
        <v>93</v>
      </c>
      <c r="E795">
        <v>26</v>
      </c>
      <c r="F795" t="s">
        <v>20</v>
      </c>
      <c r="G795" t="s">
        <v>21</v>
      </c>
      <c r="H795" t="s">
        <v>48</v>
      </c>
      <c r="I795">
        <v>5</v>
      </c>
      <c r="J795" s="2">
        <v>100</v>
      </c>
      <c r="K795">
        <v>2.5</v>
      </c>
      <c r="L795" t="b">
        <v>1</v>
      </c>
      <c r="M795" s="1">
        <v>0.93</v>
      </c>
    </row>
    <row r="796" spans="1:13" x14ac:dyDescent="0.3">
      <c r="A796" t="s">
        <v>1660</v>
      </c>
      <c r="B796" t="s">
        <v>1661</v>
      </c>
      <c r="C796" t="str">
        <f t="shared" si="18"/>
        <v>Christopher Hunter</v>
      </c>
      <c r="D796" t="s">
        <v>88</v>
      </c>
      <c r="E796">
        <v>54</v>
      </c>
      <c r="F796" t="s">
        <v>63</v>
      </c>
      <c r="G796" t="s">
        <v>21</v>
      </c>
      <c r="H796" t="s">
        <v>85</v>
      </c>
      <c r="I796">
        <v>29</v>
      </c>
      <c r="J796" t="s">
        <v>52</v>
      </c>
      <c r="K796">
        <v>3.1</v>
      </c>
      <c r="L796">
        <v>1</v>
      </c>
    </row>
    <row r="797" spans="1:13" x14ac:dyDescent="0.3">
      <c r="A797" t="s">
        <v>1662</v>
      </c>
      <c r="B797" t="s">
        <v>1663</v>
      </c>
      <c r="C797" t="str">
        <f t="shared" si="18"/>
        <v>Dwayne Parks</v>
      </c>
      <c r="D797" t="s">
        <v>45</v>
      </c>
      <c r="E797">
        <v>53</v>
      </c>
      <c r="F797" t="s">
        <v>119</v>
      </c>
      <c r="G797" t="s">
        <v>120</v>
      </c>
      <c r="H797" t="s">
        <v>74</v>
      </c>
      <c r="I797">
        <v>12</v>
      </c>
      <c r="J797">
        <v>100</v>
      </c>
      <c r="K797">
        <v>4.7</v>
      </c>
      <c r="L797">
        <v>1</v>
      </c>
      <c r="M797" s="1">
        <v>0.87</v>
      </c>
    </row>
    <row r="798" spans="1:13" x14ac:dyDescent="0.3">
      <c r="A798" t="s">
        <v>1664</v>
      </c>
      <c r="B798" t="s">
        <v>1665</v>
      </c>
      <c r="C798" t="str">
        <f t="shared" si="18"/>
        <v>Mary Hall</v>
      </c>
      <c r="D798" t="s">
        <v>73</v>
      </c>
      <c r="E798">
        <v>33</v>
      </c>
      <c r="F798" t="s">
        <v>123</v>
      </c>
      <c r="G798" t="s">
        <v>21</v>
      </c>
      <c r="H798" t="s">
        <v>85</v>
      </c>
      <c r="I798">
        <v>4</v>
      </c>
      <c r="K798">
        <v>1.9</v>
      </c>
      <c r="L798" t="b">
        <v>0</v>
      </c>
      <c r="M798">
        <v>73</v>
      </c>
    </row>
    <row r="799" spans="1:13" x14ac:dyDescent="0.3">
      <c r="A799" t="s">
        <v>1666</v>
      </c>
      <c r="B799" t="s">
        <v>1667</v>
      </c>
      <c r="C799" t="str">
        <f t="shared" si="18"/>
        <v>Jake Gilmore</v>
      </c>
      <c r="D799" t="s">
        <v>45</v>
      </c>
      <c r="E799">
        <v>43</v>
      </c>
      <c r="F799" t="s">
        <v>40</v>
      </c>
      <c r="G799" t="s">
        <v>41</v>
      </c>
      <c r="H799" t="s">
        <v>34</v>
      </c>
      <c r="I799">
        <v>12</v>
      </c>
      <c r="K799">
        <v>1.6</v>
      </c>
      <c r="L799">
        <v>1</v>
      </c>
      <c r="M799" s="1">
        <v>0.74</v>
      </c>
    </row>
    <row r="800" spans="1:13" x14ac:dyDescent="0.3">
      <c r="A800" t="s">
        <v>1668</v>
      </c>
      <c r="B800" t="s">
        <v>1669</v>
      </c>
      <c r="C800" t="str">
        <f t="shared" si="18"/>
        <v>Mark Lopez</v>
      </c>
      <c r="D800" t="s">
        <v>88</v>
      </c>
      <c r="E800">
        <v>37</v>
      </c>
      <c r="F800" t="s">
        <v>123</v>
      </c>
      <c r="G800" t="s">
        <v>21</v>
      </c>
      <c r="H800" t="s">
        <v>85</v>
      </c>
      <c r="I800">
        <v>3</v>
      </c>
      <c r="J800">
        <v>20</v>
      </c>
      <c r="K800">
        <v>2.5</v>
      </c>
      <c r="L800" t="s">
        <v>30</v>
      </c>
      <c r="M800" s="1">
        <v>0.62</v>
      </c>
    </row>
    <row r="801" spans="1:13" x14ac:dyDescent="0.3">
      <c r="A801" t="s">
        <v>1670</v>
      </c>
      <c r="B801" t="s">
        <v>1671</v>
      </c>
      <c r="C801" t="str">
        <f t="shared" si="18"/>
        <v>Dana Rice</v>
      </c>
      <c r="D801" t="s">
        <v>37</v>
      </c>
      <c r="E801">
        <v>58</v>
      </c>
      <c r="F801" t="s">
        <v>130</v>
      </c>
      <c r="G801" t="s">
        <v>131</v>
      </c>
      <c r="H801" t="s">
        <v>48</v>
      </c>
      <c r="I801">
        <v>15</v>
      </c>
      <c r="J801">
        <v>20</v>
      </c>
      <c r="K801">
        <v>3.5</v>
      </c>
      <c r="M801" s="1">
        <v>0.98</v>
      </c>
    </row>
    <row r="802" spans="1:13" x14ac:dyDescent="0.3">
      <c r="A802" t="s">
        <v>1672</v>
      </c>
      <c r="B802" t="s">
        <v>1673</v>
      </c>
      <c r="C802" t="str">
        <f t="shared" si="18"/>
        <v>Beth Young</v>
      </c>
      <c r="D802" t="s">
        <v>19</v>
      </c>
      <c r="E802">
        <v>39</v>
      </c>
      <c r="F802" t="s">
        <v>184</v>
      </c>
      <c r="G802" t="s">
        <v>68</v>
      </c>
      <c r="H802" t="s">
        <v>22</v>
      </c>
      <c r="I802">
        <v>15</v>
      </c>
      <c r="J802">
        <v>50</v>
      </c>
      <c r="L802">
        <v>0</v>
      </c>
      <c r="M802" s="1">
        <v>0.8</v>
      </c>
    </row>
    <row r="803" spans="1:13" x14ac:dyDescent="0.3">
      <c r="A803" t="s">
        <v>1674</v>
      </c>
      <c r="B803" t="s">
        <v>1675</v>
      </c>
      <c r="C803" t="str">
        <f t="shared" si="18"/>
        <v>Ryan Powell</v>
      </c>
      <c r="D803" t="s">
        <v>26</v>
      </c>
      <c r="E803">
        <v>43</v>
      </c>
      <c r="F803" t="s">
        <v>59</v>
      </c>
      <c r="G803" t="s">
        <v>60</v>
      </c>
      <c r="H803" t="s">
        <v>29</v>
      </c>
      <c r="I803">
        <v>13</v>
      </c>
      <c r="J803" t="s">
        <v>307</v>
      </c>
      <c r="K803">
        <v>1.2</v>
      </c>
      <c r="L803" t="s">
        <v>70</v>
      </c>
      <c r="M803">
        <v>69</v>
      </c>
    </row>
    <row r="804" spans="1:13" x14ac:dyDescent="0.3">
      <c r="A804" t="s">
        <v>1676</v>
      </c>
      <c r="B804" t="s">
        <v>1677</v>
      </c>
      <c r="C804" t="str">
        <f t="shared" si="18"/>
        <v>Amanda Fowler</v>
      </c>
      <c r="D804" t="s">
        <v>73</v>
      </c>
      <c r="E804">
        <v>40</v>
      </c>
      <c r="F804" t="s">
        <v>184</v>
      </c>
      <c r="G804" t="s">
        <v>68</v>
      </c>
      <c r="H804" t="s">
        <v>16</v>
      </c>
      <c r="I804">
        <v>20</v>
      </c>
      <c r="J804" t="s">
        <v>105</v>
      </c>
      <c r="L804" t="b">
        <v>0</v>
      </c>
      <c r="M804">
        <v>90</v>
      </c>
    </row>
    <row r="805" spans="1:13" x14ac:dyDescent="0.3">
      <c r="A805" t="s">
        <v>1678</v>
      </c>
      <c r="B805" t="s">
        <v>1679</v>
      </c>
      <c r="C805" t="str">
        <f t="shared" si="18"/>
        <v>Lindsay Rivera</v>
      </c>
      <c r="D805" t="s">
        <v>13</v>
      </c>
      <c r="E805">
        <v>51</v>
      </c>
      <c r="F805" t="s">
        <v>63</v>
      </c>
      <c r="G805" t="s">
        <v>21</v>
      </c>
      <c r="H805" t="s">
        <v>110</v>
      </c>
      <c r="I805">
        <v>30</v>
      </c>
      <c r="J805">
        <v>75</v>
      </c>
      <c r="L805" t="b">
        <v>1</v>
      </c>
      <c r="M805" s="1">
        <v>0.74</v>
      </c>
    </row>
    <row r="806" spans="1:13" x14ac:dyDescent="0.3">
      <c r="A806" t="s">
        <v>1680</v>
      </c>
      <c r="B806" t="s">
        <v>1681</v>
      </c>
      <c r="C806" t="str">
        <f t="shared" si="18"/>
        <v>Mark Ward</v>
      </c>
      <c r="D806" t="s">
        <v>26</v>
      </c>
      <c r="E806">
        <v>23</v>
      </c>
      <c r="F806" t="s">
        <v>27</v>
      </c>
      <c r="G806" t="s">
        <v>28</v>
      </c>
      <c r="H806" t="s">
        <v>42</v>
      </c>
      <c r="I806">
        <v>4</v>
      </c>
      <c r="J806">
        <v>50</v>
      </c>
      <c r="K806">
        <v>4.5</v>
      </c>
      <c r="L806" t="s">
        <v>30</v>
      </c>
      <c r="M806" s="1">
        <v>0.98</v>
      </c>
    </row>
    <row r="807" spans="1:13" x14ac:dyDescent="0.3">
      <c r="A807" t="s">
        <v>1682</v>
      </c>
      <c r="B807" t="s">
        <v>1683</v>
      </c>
      <c r="C807" t="str">
        <f t="shared" si="18"/>
        <v>Amanda Smith</v>
      </c>
      <c r="D807" t="s">
        <v>13</v>
      </c>
      <c r="E807">
        <v>31</v>
      </c>
      <c r="F807" t="s">
        <v>46</v>
      </c>
      <c r="G807" t="s">
        <v>47</v>
      </c>
      <c r="H807" t="s">
        <v>29</v>
      </c>
      <c r="J807" t="s">
        <v>307</v>
      </c>
      <c r="L807" t="s">
        <v>70</v>
      </c>
      <c r="M807" s="1">
        <v>0.84</v>
      </c>
    </row>
    <row r="808" spans="1:13" x14ac:dyDescent="0.3">
      <c r="A808" t="s">
        <v>1684</v>
      </c>
      <c r="B808" t="s">
        <v>1685</v>
      </c>
      <c r="C808" t="str">
        <f t="shared" si="18"/>
        <v>Emily Brown</v>
      </c>
      <c r="D808" t="s">
        <v>19</v>
      </c>
      <c r="E808">
        <v>44</v>
      </c>
      <c r="F808" t="s">
        <v>119</v>
      </c>
      <c r="G808" t="s">
        <v>120</v>
      </c>
      <c r="H808" t="s">
        <v>34</v>
      </c>
      <c r="I808">
        <v>3</v>
      </c>
      <c r="J808" s="2">
        <v>20</v>
      </c>
      <c r="K808">
        <v>5</v>
      </c>
      <c r="L808" t="s">
        <v>64</v>
      </c>
      <c r="M808" s="1">
        <v>0.75</v>
      </c>
    </row>
    <row r="809" spans="1:13" x14ac:dyDescent="0.3">
      <c r="A809" t="s">
        <v>1686</v>
      </c>
      <c r="B809" t="s">
        <v>1687</v>
      </c>
      <c r="C809" t="str">
        <f t="shared" si="18"/>
        <v>Dwayne Cardenas</v>
      </c>
      <c r="D809" t="s">
        <v>93</v>
      </c>
      <c r="E809">
        <v>56</v>
      </c>
      <c r="F809" t="s">
        <v>27</v>
      </c>
      <c r="G809" t="s">
        <v>28</v>
      </c>
      <c r="H809" t="s">
        <v>22</v>
      </c>
      <c r="I809">
        <v>23</v>
      </c>
      <c r="J809">
        <v>75</v>
      </c>
      <c r="K809">
        <v>3.9</v>
      </c>
      <c r="L809">
        <v>1</v>
      </c>
    </row>
    <row r="810" spans="1:13" x14ac:dyDescent="0.3">
      <c r="A810" t="s">
        <v>1688</v>
      </c>
      <c r="B810" t="s">
        <v>1689</v>
      </c>
      <c r="C810" t="str">
        <f>RIGHT(B810, LEN(B810) - FIND(". ", B810))</f>
        <v xml:space="preserve"> Rhonda Hernandez</v>
      </c>
      <c r="D810" t="s">
        <v>19</v>
      </c>
      <c r="E810">
        <v>48</v>
      </c>
      <c r="F810" t="s">
        <v>20</v>
      </c>
      <c r="G810" t="s">
        <v>21</v>
      </c>
      <c r="H810" t="s">
        <v>74</v>
      </c>
      <c r="I810">
        <v>5</v>
      </c>
      <c r="J810" s="2">
        <v>100</v>
      </c>
      <c r="K810">
        <v>1.8</v>
      </c>
      <c r="L810" t="b">
        <v>1</v>
      </c>
      <c r="M810" s="1">
        <v>0.97</v>
      </c>
    </row>
    <row r="811" spans="1:13" x14ac:dyDescent="0.3">
      <c r="A811" t="s">
        <v>1690</v>
      </c>
      <c r="B811" t="s">
        <v>1691</v>
      </c>
      <c r="C811" t="str">
        <f t="shared" ref="C811:C874" si="19">B811</f>
        <v>Melody Barker</v>
      </c>
      <c r="D811" t="s">
        <v>13</v>
      </c>
      <c r="E811">
        <v>46</v>
      </c>
      <c r="F811" t="s">
        <v>119</v>
      </c>
      <c r="G811" t="s">
        <v>120</v>
      </c>
      <c r="H811" t="s">
        <v>34</v>
      </c>
      <c r="I811">
        <v>28</v>
      </c>
      <c r="J811">
        <v>30</v>
      </c>
      <c r="K811">
        <v>4.2</v>
      </c>
      <c r="L811" t="b">
        <v>1</v>
      </c>
    </row>
    <row r="812" spans="1:13" x14ac:dyDescent="0.3">
      <c r="A812" t="s">
        <v>1692</v>
      </c>
      <c r="B812" t="s">
        <v>1693</v>
      </c>
      <c r="C812" t="str">
        <f t="shared" si="19"/>
        <v>Russell Carpenter</v>
      </c>
      <c r="D812" t="s">
        <v>88</v>
      </c>
      <c r="E812">
        <v>21</v>
      </c>
      <c r="F812" t="s">
        <v>134</v>
      </c>
      <c r="G812" t="s">
        <v>135</v>
      </c>
      <c r="H812" t="s">
        <v>42</v>
      </c>
      <c r="I812">
        <v>0</v>
      </c>
      <c r="J812">
        <v>20</v>
      </c>
      <c r="K812">
        <v>2.6</v>
      </c>
      <c r="L812" t="s">
        <v>154</v>
      </c>
      <c r="M812" s="1">
        <v>0.64</v>
      </c>
    </row>
    <row r="813" spans="1:13" x14ac:dyDescent="0.3">
      <c r="A813" t="s">
        <v>1694</v>
      </c>
      <c r="B813" t="s">
        <v>1695</v>
      </c>
      <c r="C813" t="str">
        <f t="shared" si="19"/>
        <v>Richard Hill</v>
      </c>
      <c r="D813" t="s">
        <v>45</v>
      </c>
      <c r="E813">
        <v>52</v>
      </c>
      <c r="F813" t="s">
        <v>119</v>
      </c>
      <c r="G813" t="s">
        <v>120</v>
      </c>
      <c r="H813" t="s">
        <v>48</v>
      </c>
      <c r="I813">
        <v>30</v>
      </c>
      <c r="J813">
        <v>30</v>
      </c>
      <c r="K813">
        <v>2</v>
      </c>
      <c r="L813">
        <v>1</v>
      </c>
      <c r="M813" s="1">
        <v>0.68</v>
      </c>
    </row>
    <row r="814" spans="1:13" x14ac:dyDescent="0.3">
      <c r="A814" t="s">
        <v>1696</v>
      </c>
      <c r="B814" t="s">
        <v>1697</v>
      </c>
      <c r="C814" t="str">
        <f t="shared" si="19"/>
        <v>Lindsay Potts</v>
      </c>
      <c r="D814" t="s">
        <v>13</v>
      </c>
      <c r="E814">
        <v>39</v>
      </c>
      <c r="F814" t="s">
        <v>119</v>
      </c>
      <c r="G814" t="s">
        <v>120</v>
      </c>
      <c r="H814" t="s">
        <v>29</v>
      </c>
      <c r="I814">
        <v>20</v>
      </c>
      <c r="J814" s="2">
        <v>75</v>
      </c>
      <c r="K814">
        <v>2.7</v>
      </c>
      <c r="L814">
        <v>1</v>
      </c>
      <c r="M814" s="1">
        <v>0.67</v>
      </c>
    </row>
    <row r="815" spans="1:13" x14ac:dyDescent="0.3">
      <c r="A815" t="s">
        <v>1698</v>
      </c>
      <c r="B815" t="s">
        <v>1699</v>
      </c>
      <c r="C815" t="str">
        <f t="shared" si="19"/>
        <v>Michelle Campbell</v>
      </c>
      <c r="D815" t="s">
        <v>13</v>
      </c>
      <c r="E815">
        <v>31</v>
      </c>
      <c r="F815" t="s">
        <v>20</v>
      </c>
      <c r="G815" t="s">
        <v>21</v>
      </c>
      <c r="H815" t="s">
        <v>22</v>
      </c>
      <c r="I815">
        <v>0</v>
      </c>
      <c r="J815">
        <v>30</v>
      </c>
      <c r="K815">
        <v>2.2999999999999998</v>
      </c>
      <c r="L815" t="s">
        <v>154</v>
      </c>
      <c r="M815" s="1">
        <v>0.79</v>
      </c>
    </row>
    <row r="816" spans="1:13" x14ac:dyDescent="0.3">
      <c r="A816" t="s">
        <v>1700</v>
      </c>
      <c r="B816" t="s">
        <v>1701</v>
      </c>
      <c r="C816" t="str">
        <f t="shared" si="19"/>
        <v>Alan Williams</v>
      </c>
      <c r="D816" t="s">
        <v>45</v>
      </c>
      <c r="E816">
        <v>22</v>
      </c>
      <c r="F816" t="s">
        <v>108</v>
      </c>
      <c r="G816" t="s">
        <v>109</v>
      </c>
      <c r="H816" t="s">
        <v>69</v>
      </c>
      <c r="I816">
        <v>4</v>
      </c>
      <c r="J816" s="2">
        <v>40</v>
      </c>
      <c r="K816">
        <v>3.8</v>
      </c>
      <c r="L816" t="b">
        <v>1</v>
      </c>
      <c r="M816" s="1">
        <v>1</v>
      </c>
    </row>
    <row r="817" spans="1:13" x14ac:dyDescent="0.3">
      <c r="A817" t="s">
        <v>1702</v>
      </c>
      <c r="B817" t="s">
        <v>1703</v>
      </c>
      <c r="C817" t="str">
        <f t="shared" si="19"/>
        <v>Robin Hinton</v>
      </c>
      <c r="D817" t="s">
        <v>13</v>
      </c>
      <c r="E817">
        <v>38</v>
      </c>
      <c r="F817" t="s">
        <v>63</v>
      </c>
      <c r="G817" t="s">
        <v>21</v>
      </c>
      <c r="H817" t="s">
        <v>69</v>
      </c>
      <c r="I817">
        <v>10</v>
      </c>
      <c r="J817">
        <v>40</v>
      </c>
      <c r="L817" t="s">
        <v>30</v>
      </c>
      <c r="M817" s="1">
        <v>0.66</v>
      </c>
    </row>
    <row r="818" spans="1:13" x14ac:dyDescent="0.3">
      <c r="A818" t="s">
        <v>1704</v>
      </c>
      <c r="B818" t="s">
        <v>1705</v>
      </c>
      <c r="C818" t="str">
        <f t="shared" si="19"/>
        <v>Brian Holland</v>
      </c>
      <c r="D818" t="s">
        <v>93</v>
      </c>
      <c r="E818">
        <v>44</v>
      </c>
      <c r="F818" t="s">
        <v>67</v>
      </c>
      <c r="G818" t="s">
        <v>68</v>
      </c>
      <c r="H818" t="s">
        <v>29</v>
      </c>
      <c r="I818">
        <v>24</v>
      </c>
      <c r="J818" t="s">
        <v>49</v>
      </c>
      <c r="K818">
        <v>4.5999999999999996</v>
      </c>
      <c r="L818" t="s">
        <v>154</v>
      </c>
      <c r="M818" s="1">
        <v>0.97</v>
      </c>
    </row>
    <row r="819" spans="1:13" x14ac:dyDescent="0.3">
      <c r="A819" t="s">
        <v>1706</v>
      </c>
      <c r="B819" t="s">
        <v>1707</v>
      </c>
      <c r="C819" t="str">
        <f t="shared" si="19"/>
        <v>Adam Stone</v>
      </c>
      <c r="D819" t="s">
        <v>88</v>
      </c>
      <c r="E819">
        <v>53</v>
      </c>
      <c r="F819" t="s">
        <v>46</v>
      </c>
      <c r="G819" t="s">
        <v>47</v>
      </c>
      <c r="H819" t="s">
        <v>110</v>
      </c>
      <c r="I819">
        <v>21</v>
      </c>
      <c r="J819">
        <v>100</v>
      </c>
      <c r="K819">
        <v>3.4</v>
      </c>
      <c r="L819">
        <v>0</v>
      </c>
      <c r="M819" s="1">
        <v>0.62</v>
      </c>
    </row>
    <row r="820" spans="1:13" x14ac:dyDescent="0.3">
      <c r="A820" t="s">
        <v>1708</v>
      </c>
      <c r="B820" t="s">
        <v>1709</v>
      </c>
      <c r="C820" t="str">
        <f t="shared" si="19"/>
        <v>Curtis Lambert</v>
      </c>
      <c r="D820" t="s">
        <v>93</v>
      </c>
      <c r="E820">
        <v>22</v>
      </c>
      <c r="F820" t="s">
        <v>169</v>
      </c>
      <c r="G820" t="s">
        <v>170</v>
      </c>
      <c r="H820" t="s">
        <v>48</v>
      </c>
      <c r="I820">
        <v>2</v>
      </c>
      <c r="J820" t="s">
        <v>307</v>
      </c>
      <c r="L820" t="s">
        <v>154</v>
      </c>
    </row>
    <row r="821" spans="1:13" x14ac:dyDescent="0.3">
      <c r="A821" t="s">
        <v>1710</v>
      </c>
      <c r="B821" t="s">
        <v>1711</v>
      </c>
      <c r="C821" t="str">
        <f t="shared" si="19"/>
        <v>Alexandra Sims</v>
      </c>
      <c r="D821" t="s">
        <v>73</v>
      </c>
      <c r="E821">
        <v>40</v>
      </c>
      <c r="F821" t="s">
        <v>89</v>
      </c>
      <c r="G821" t="s">
        <v>90</v>
      </c>
      <c r="H821" t="s">
        <v>16</v>
      </c>
      <c r="I821">
        <v>14</v>
      </c>
      <c r="J821">
        <v>75</v>
      </c>
      <c r="K821">
        <v>0</v>
      </c>
      <c r="L821">
        <v>1</v>
      </c>
      <c r="M821" s="1">
        <v>0.79</v>
      </c>
    </row>
    <row r="822" spans="1:13" x14ac:dyDescent="0.3">
      <c r="A822" t="s">
        <v>1712</v>
      </c>
      <c r="B822" t="s">
        <v>1713</v>
      </c>
      <c r="C822" t="str">
        <f t="shared" si="19"/>
        <v>Brenda Spencer</v>
      </c>
      <c r="D822" t="s">
        <v>37</v>
      </c>
      <c r="E822">
        <v>49</v>
      </c>
      <c r="F822" t="s">
        <v>169</v>
      </c>
      <c r="G822" t="s">
        <v>170</v>
      </c>
      <c r="H822" t="s">
        <v>22</v>
      </c>
      <c r="I822">
        <v>15</v>
      </c>
      <c r="J822">
        <v>40</v>
      </c>
      <c r="K822">
        <v>3.9</v>
      </c>
      <c r="L822" t="b">
        <v>0</v>
      </c>
      <c r="M822" s="1">
        <v>0.86</v>
      </c>
    </row>
    <row r="823" spans="1:13" x14ac:dyDescent="0.3">
      <c r="A823" t="s">
        <v>1714</v>
      </c>
      <c r="B823" t="s">
        <v>1715</v>
      </c>
      <c r="C823" t="str">
        <f t="shared" si="19"/>
        <v>Joshua Bush</v>
      </c>
      <c r="D823" t="s">
        <v>58</v>
      </c>
      <c r="E823">
        <v>30</v>
      </c>
      <c r="F823" t="s">
        <v>20</v>
      </c>
      <c r="G823" t="s">
        <v>21</v>
      </c>
      <c r="H823" t="s">
        <v>69</v>
      </c>
      <c r="I823">
        <v>11</v>
      </c>
      <c r="J823" s="2">
        <v>30</v>
      </c>
      <c r="K823">
        <v>4.2</v>
      </c>
      <c r="L823">
        <v>0</v>
      </c>
      <c r="M823" s="1">
        <v>0.65</v>
      </c>
    </row>
    <row r="824" spans="1:13" x14ac:dyDescent="0.3">
      <c r="A824" t="s">
        <v>1716</v>
      </c>
      <c r="B824" t="s">
        <v>1717</v>
      </c>
      <c r="C824" t="str">
        <f t="shared" si="19"/>
        <v>Erin Martin</v>
      </c>
      <c r="D824" t="s">
        <v>37</v>
      </c>
      <c r="E824">
        <v>37</v>
      </c>
      <c r="F824" t="s">
        <v>81</v>
      </c>
      <c r="G824" t="s">
        <v>82</v>
      </c>
      <c r="H824" t="s">
        <v>42</v>
      </c>
      <c r="I824">
        <v>6</v>
      </c>
      <c r="J824">
        <v>20</v>
      </c>
      <c r="M824" s="1">
        <v>0.99</v>
      </c>
    </row>
    <row r="825" spans="1:13" x14ac:dyDescent="0.3">
      <c r="A825" t="s">
        <v>1718</v>
      </c>
      <c r="B825" t="s">
        <v>1719</v>
      </c>
      <c r="C825" t="str">
        <f t="shared" si="19"/>
        <v>Alexander Hogan</v>
      </c>
      <c r="D825" t="s">
        <v>26</v>
      </c>
      <c r="E825">
        <v>21</v>
      </c>
      <c r="F825" t="s">
        <v>134</v>
      </c>
      <c r="G825" t="s">
        <v>135</v>
      </c>
      <c r="H825" t="s">
        <v>29</v>
      </c>
      <c r="I825">
        <v>2</v>
      </c>
      <c r="J825">
        <v>100</v>
      </c>
      <c r="K825">
        <v>3.6</v>
      </c>
      <c r="L825" t="b">
        <v>0</v>
      </c>
      <c r="M825">
        <v>85</v>
      </c>
    </row>
    <row r="826" spans="1:13" x14ac:dyDescent="0.3">
      <c r="A826" t="s">
        <v>1720</v>
      </c>
      <c r="B826" t="s">
        <v>1721</v>
      </c>
      <c r="C826" t="str">
        <f t="shared" si="19"/>
        <v>William Harris</v>
      </c>
      <c r="D826" t="s">
        <v>93</v>
      </c>
      <c r="E826">
        <v>20</v>
      </c>
      <c r="F826" t="s">
        <v>108</v>
      </c>
      <c r="G826" t="s">
        <v>109</v>
      </c>
      <c r="H826" t="s">
        <v>42</v>
      </c>
      <c r="I826">
        <v>1</v>
      </c>
      <c r="J826" t="s">
        <v>94</v>
      </c>
      <c r="L826" t="s">
        <v>64</v>
      </c>
      <c r="M826" s="1">
        <v>0.81</v>
      </c>
    </row>
    <row r="827" spans="1:13" x14ac:dyDescent="0.3">
      <c r="A827" t="s">
        <v>1722</v>
      </c>
      <c r="B827" t="s">
        <v>1723</v>
      </c>
      <c r="C827" t="str">
        <f t="shared" si="19"/>
        <v>Michael Mcmahon</v>
      </c>
      <c r="D827" t="s">
        <v>26</v>
      </c>
      <c r="E827">
        <v>20</v>
      </c>
      <c r="F827" t="s">
        <v>169</v>
      </c>
      <c r="G827" t="s">
        <v>170</v>
      </c>
      <c r="H827" t="s">
        <v>48</v>
      </c>
      <c r="I827">
        <v>2</v>
      </c>
      <c r="J827" s="2">
        <v>40</v>
      </c>
      <c r="K827">
        <v>2.1</v>
      </c>
      <c r="L827" t="s">
        <v>30</v>
      </c>
      <c r="M827" s="1">
        <v>0.64</v>
      </c>
    </row>
    <row r="828" spans="1:13" x14ac:dyDescent="0.3">
      <c r="A828" t="s">
        <v>1724</v>
      </c>
      <c r="B828" t="s">
        <v>1725</v>
      </c>
      <c r="C828" t="str">
        <f t="shared" si="19"/>
        <v>Michael Watson</v>
      </c>
      <c r="D828" t="s">
        <v>58</v>
      </c>
      <c r="E828">
        <v>20</v>
      </c>
      <c r="F828" t="s">
        <v>67</v>
      </c>
      <c r="G828" t="s">
        <v>68</v>
      </c>
      <c r="H828" t="s">
        <v>110</v>
      </c>
      <c r="I828">
        <v>2</v>
      </c>
      <c r="J828">
        <v>20</v>
      </c>
      <c r="K828">
        <v>3.9</v>
      </c>
      <c r="L828" t="b">
        <v>0</v>
      </c>
      <c r="M828" s="1">
        <v>0.84</v>
      </c>
    </row>
    <row r="829" spans="1:13" x14ac:dyDescent="0.3">
      <c r="A829" t="s">
        <v>1726</v>
      </c>
      <c r="B829" t="s">
        <v>1727</v>
      </c>
      <c r="C829" t="str">
        <f t="shared" si="19"/>
        <v>Lori Perez</v>
      </c>
      <c r="D829" t="s">
        <v>13</v>
      </c>
      <c r="E829">
        <v>26</v>
      </c>
      <c r="F829" t="s">
        <v>119</v>
      </c>
      <c r="G829" t="s">
        <v>120</v>
      </c>
      <c r="H829" t="s">
        <v>110</v>
      </c>
      <c r="I829">
        <v>2</v>
      </c>
      <c r="J829">
        <v>40</v>
      </c>
      <c r="K829">
        <v>0</v>
      </c>
      <c r="M829" s="1">
        <v>0.66</v>
      </c>
    </row>
    <row r="830" spans="1:13" x14ac:dyDescent="0.3">
      <c r="A830" t="s">
        <v>1728</v>
      </c>
      <c r="B830" t="s">
        <v>1729</v>
      </c>
      <c r="C830" t="str">
        <f t="shared" si="19"/>
        <v>Lindsay Le</v>
      </c>
      <c r="D830" t="s">
        <v>37</v>
      </c>
      <c r="E830">
        <v>50</v>
      </c>
      <c r="F830" t="s">
        <v>108</v>
      </c>
      <c r="G830" t="s">
        <v>109</v>
      </c>
      <c r="H830" t="s">
        <v>34</v>
      </c>
      <c r="I830">
        <v>12</v>
      </c>
      <c r="J830" s="2">
        <v>75</v>
      </c>
      <c r="K830">
        <v>0</v>
      </c>
      <c r="L830" t="b">
        <v>0</v>
      </c>
      <c r="M830">
        <v>75</v>
      </c>
    </row>
    <row r="831" spans="1:13" x14ac:dyDescent="0.3">
      <c r="A831" t="s">
        <v>1730</v>
      </c>
      <c r="B831" t="s">
        <v>1731</v>
      </c>
      <c r="C831" t="str">
        <f t="shared" si="19"/>
        <v>Scott Long</v>
      </c>
      <c r="D831" t="s">
        <v>93</v>
      </c>
      <c r="E831">
        <v>50</v>
      </c>
      <c r="F831" t="s">
        <v>184</v>
      </c>
      <c r="G831" t="s">
        <v>68</v>
      </c>
      <c r="H831" t="s">
        <v>42</v>
      </c>
      <c r="I831">
        <v>28</v>
      </c>
      <c r="J831">
        <v>30</v>
      </c>
      <c r="K831">
        <v>1.8</v>
      </c>
    </row>
    <row r="832" spans="1:13" x14ac:dyDescent="0.3">
      <c r="A832" t="s">
        <v>1732</v>
      </c>
      <c r="B832" t="s">
        <v>1733</v>
      </c>
      <c r="C832" t="str">
        <f t="shared" si="19"/>
        <v>Diana Ferguson</v>
      </c>
      <c r="D832" t="s">
        <v>73</v>
      </c>
      <c r="E832">
        <v>54</v>
      </c>
      <c r="F832" t="s">
        <v>46</v>
      </c>
      <c r="G832" t="s">
        <v>47</v>
      </c>
      <c r="H832" t="s">
        <v>42</v>
      </c>
      <c r="I832">
        <v>4</v>
      </c>
      <c r="J832">
        <v>20</v>
      </c>
      <c r="K832">
        <v>1.1000000000000001</v>
      </c>
      <c r="L832">
        <v>1</v>
      </c>
      <c r="M832" s="1">
        <v>0.63</v>
      </c>
    </row>
    <row r="833" spans="1:13" x14ac:dyDescent="0.3">
      <c r="A833" t="s">
        <v>1734</v>
      </c>
      <c r="B833" t="s">
        <v>1735</v>
      </c>
      <c r="C833" t="str">
        <f t="shared" si="19"/>
        <v>Joseph Miller</v>
      </c>
      <c r="D833" t="s">
        <v>26</v>
      </c>
      <c r="E833">
        <v>54</v>
      </c>
      <c r="F833" t="s">
        <v>184</v>
      </c>
      <c r="G833" t="s">
        <v>68</v>
      </c>
      <c r="H833" t="s">
        <v>16</v>
      </c>
      <c r="I833">
        <v>3</v>
      </c>
      <c r="J833">
        <v>20</v>
      </c>
      <c r="K833">
        <v>1.6</v>
      </c>
      <c r="L833" t="s">
        <v>70</v>
      </c>
      <c r="M833" s="1">
        <v>0.7</v>
      </c>
    </row>
    <row r="834" spans="1:13" x14ac:dyDescent="0.3">
      <c r="A834" t="s">
        <v>1736</v>
      </c>
      <c r="B834" t="s">
        <v>1737</v>
      </c>
      <c r="C834" t="str">
        <f t="shared" si="19"/>
        <v>Julia Reid</v>
      </c>
      <c r="D834" t="s">
        <v>73</v>
      </c>
      <c r="E834">
        <v>34</v>
      </c>
      <c r="F834" t="s">
        <v>134</v>
      </c>
      <c r="G834" t="s">
        <v>135</v>
      </c>
      <c r="H834" t="s">
        <v>110</v>
      </c>
      <c r="I834">
        <v>4</v>
      </c>
      <c r="J834" s="2">
        <v>30</v>
      </c>
      <c r="K834">
        <v>3.1</v>
      </c>
      <c r="M834" s="1">
        <v>0.9</v>
      </c>
    </row>
    <row r="835" spans="1:13" x14ac:dyDescent="0.3">
      <c r="A835" t="s">
        <v>1738</v>
      </c>
      <c r="B835" t="s">
        <v>1739</v>
      </c>
      <c r="C835" t="str">
        <f t="shared" si="19"/>
        <v>Samantha Matthews</v>
      </c>
      <c r="D835" t="s">
        <v>73</v>
      </c>
      <c r="E835">
        <v>20</v>
      </c>
      <c r="F835" t="s">
        <v>14</v>
      </c>
      <c r="G835" t="s">
        <v>15</v>
      </c>
      <c r="H835" t="s">
        <v>85</v>
      </c>
      <c r="I835">
        <v>1</v>
      </c>
      <c r="J835">
        <v>50</v>
      </c>
      <c r="K835">
        <v>3.4</v>
      </c>
      <c r="L835">
        <v>1</v>
      </c>
      <c r="M835">
        <v>79</v>
      </c>
    </row>
    <row r="836" spans="1:13" x14ac:dyDescent="0.3">
      <c r="A836" t="s">
        <v>1740</v>
      </c>
      <c r="B836" t="s">
        <v>1741</v>
      </c>
      <c r="C836" t="str">
        <f t="shared" si="19"/>
        <v>Brian Bailey</v>
      </c>
      <c r="D836" t="s">
        <v>26</v>
      </c>
      <c r="E836">
        <v>29</v>
      </c>
      <c r="F836" t="s">
        <v>27</v>
      </c>
      <c r="G836" t="s">
        <v>28</v>
      </c>
      <c r="H836" t="s">
        <v>42</v>
      </c>
      <c r="I836">
        <v>8</v>
      </c>
      <c r="J836">
        <v>40</v>
      </c>
      <c r="K836">
        <v>3.1</v>
      </c>
      <c r="L836" t="s">
        <v>30</v>
      </c>
      <c r="M836" s="1">
        <v>0.6</v>
      </c>
    </row>
    <row r="837" spans="1:13" x14ac:dyDescent="0.3">
      <c r="A837" t="s">
        <v>1742</v>
      </c>
      <c r="B837" t="s">
        <v>1743</v>
      </c>
      <c r="C837" t="str">
        <f t="shared" si="19"/>
        <v>Toni Hinton</v>
      </c>
      <c r="D837" t="s">
        <v>37</v>
      </c>
      <c r="E837">
        <v>57</v>
      </c>
      <c r="F837" t="s">
        <v>63</v>
      </c>
      <c r="G837" t="s">
        <v>21</v>
      </c>
      <c r="H837" t="s">
        <v>85</v>
      </c>
      <c r="I837">
        <v>11</v>
      </c>
      <c r="J837" t="s">
        <v>49</v>
      </c>
      <c r="K837">
        <v>2.2999999999999998</v>
      </c>
      <c r="L837">
        <v>0</v>
      </c>
    </row>
    <row r="838" spans="1:13" x14ac:dyDescent="0.3">
      <c r="A838" t="s">
        <v>1744</v>
      </c>
      <c r="B838" t="s">
        <v>1745</v>
      </c>
      <c r="C838" t="str">
        <f t="shared" si="19"/>
        <v>Robin Ortiz</v>
      </c>
      <c r="D838" t="s">
        <v>33</v>
      </c>
      <c r="E838">
        <v>36</v>
      </c>
      <c r="F838" t="s">
        <v>40</v>
      </c>
      <c r="G838" t="s">
        <v>41</v>
      </c>
      <c r="H838" t="s">
        <v>42</v>
      </c>
      <c r="I838">
        <v>8</v>
      </c>
      <c r="J838" t="s">
        <v>52</v>
      </c>
      <c r="L838" t="s">
        <v>30</v>
      </c>
      <c r="M838" s="1">
        <v>0.8</v>
      </c>
    </row>
    <row r="839" spans="1:13" x14ac:dyDescent="0.3">
      <c r="A839" t="s">
        <v>1746</v>
      </c>
      <c r="B839" t="s">
        <v>1747</v>
      </c>
      <c r="C839" t="str">
        <f t="shared" si="19"/>
        <v>Adam Griffith</v>
      </c>
      <c r="D839" t="s">
        <v>93</v>
      </c>
      <c r="E839">
        <v>51</v>
      </c>
      <c r="F839" t="s">
        <v>108</v>
      </c>
      <c r="G839" t="s">
        <v>109</v>
      </c>
      <c r="H839" t="s">
        <v>34</v>
      </c>
      <c r="I839">
        <v>32</v>
      </c>
      <c r="J839" s="2">
        <v>50</v>
      </c>
      <c r="K839">
        <v>3.2</v>
      </c>
      <c r="L839">
        <v>0</v>
      </c>
      <c r="M839">
        <v>88</v>
      </c>
    </row>
    <row r="840" spans="1:13" x14ac:dyDescent="0.3">
      <c r="A840" t="s">
        <v>1748</v>
      </c>
      <c r="B840" t="s">
        <v>1749</v>
      </c>
      <c r="C840" t="str">
        <f t="shared" si="19"/>
        <v>Daniel Roberson</v>
      </c>
      <c r="D840" t="s">
        <v>45</v>
      </c>
      <c r="E840">
        <v>44</v>
      </c>
      <c r="F840" t="s">
        <v>89</v>
      </c>
      <c r="G840" t="s">
        <v>90</v>
      </c>
      <c r="H840" t="s">
        <v>69</v>
      </c>
      <c r="I840">
        <v>4</v>
      </c>
      <c r="J840" t="s">
        <v>105</v>
      </c>
      <c r="K840">
        <v>0</v>
      </c>
      <c r="L840" t="s">
        <v>30</v>
      </c>
      <c r="M840" s="1">
        <v>0.8</v>
      </c>
    </row>
    <row r="841" spans="1:13" x14ac:dyDescent="0.3">
      <c r="A841" t="s">
        <v>1750</v>
      </c>
      <c r="B841" t="s">
        <v>1751</v>
      </c>
      <c r="C841" t="str">
        <f t="shared" si="19"/>
        <v>Dale Haynes</v>
      </c>
      <c r="D841" t="s">
        <v>93</v>
      </c>
      <c r="E841">
        <v>58</v>
      </c>
      <c r="F841" t="s">
        <v>184</v>
      </c>
      <c r="G841" t="s">
        <v>68</v>
      </c>
      <c r="H841" t="s">
        <v>74</v>
      </c>
      <c r="I841">
        <v>33</v>
      </c>
      <c r="J841">
        <v>30</v>
      </c>
      <c r="K841">
        <v>3.3</v>
      </c>
      <c r="L841" t="s">
        <v>70</v>
      </c>
      <c r="M841" s="1">
        <v>0.71</v>
      </c>
    </row>
    <row r="842" spans="1:13" x14ac:dyDescent="0.3">
      <c r="A842" t="s">
        <v>1752</v>
      </c>
      <c r="B842" t="s">
        <v>1753</v>
      </c>
      <c r="C842" t="str">
        <f t="shared" si="19"/>
        <v>Emily Scott</v>
      </c>
      <c r="D842" t="s">
        <v>13</v>
      </c>
      <c r="E842">
        <v>38</v>
      </c>
      <c r="F842" t="s">
        <v>148</v>
      </c>
      <c r="G842" t="s">
        <v>149</v>
      </c>
      <c r="H842" t="s">
        <v>22</v>
      </c>
      <c r="I842">
        <v>14</v>
      </c>
      <c r="K842">
        <v>1.1000000000000001</v>
      </c>
      <c r="L842">
        <v>1</v>
      </c>
      <c r="M842" s="1">
        <v>0.76</v>
      </c>
    </row>
    <row r="843" spans="1:13" x14ac:dyDescent="0.3">
      <c r="A843" t="s">
        <v>1754</v>
      </c>
      <c r="B843" t="s">
        <v>1755</v>
      </c>
      <c r="C843" t="str">
        <f t="shared" si="19"/>
        <v>David Brown</v>
      </c>
      <c r="D843" t="s">
        <v>88</v>
      </c>
      <c r="E843">
        <v>24</v>
      </c>
      <c r="F843" t="s">
        <v>55</v>
      </c>
      <c r="G843" t="s">
        <v>21</v>
      </c>
      <c r="H843" t="s">
        <v>69</v>
      </c>
      <c r="I843">
        <v>6</v>
      </c>
      <c r="J843" t="s">
        <v>105</v>
      </c>
      <c r="K843">
        <v>4.5999999999999996</v>
      </c>
      <c r="L843">
        <v>1</v>
      </c>
      <c r="M843" s="1">
        <v>0.93</v>
      </c>
    </row>
    <row r="844" spans="1:13" x14ac:dyDescent="0.3">
      <c r="A844" t="s">
        <v>1756</v>
      </c>
      <c r="B844" t="s">
        <v>1757</v>
      </c>
      <c r="C844" t="str">
        <f t="shared" si="19"/>
        <v>Stephanie Guzman</v>
      </c>
      <c r="D844" t="s">
        <v>33</v>
      </c>
      <c r="E844">
        <v>30</v>
      </c>
      <c r="F844" t="s">
        <v>59</v>
      </c>
      <c r="G844" t="s">
        <v>60</v>
      </c>
      <c r="H844" t="s">
        <v>16</v>
      </c>
      <c r="I844">
        <v>5</v>
      </c>
      <c r="J844" t="s">
        <v>105</v>
      </c>
      <c r="L844">
        <v>0</v>
      </c>
    </row>
    <row r="845" spans="1:13" x14ac:dyDescent="0.3">
      <c r="A845" t="s">
        <v>1758</v>
      </c>
      <c r="B845" t="s">
        <v>1759</v>
      </c>
      <c r="C845" t="str">
        <f t="shared" si="19"/>
        <v>Maxwell Johnson</v>
      </c>
      <c r="D845" t="s">
        <v>58</v>
      </c>
      <c r="E845">
        <v>25</v>
      </c>
      <c r="F845" t="s">
        <v>46</v>
      </c>
      <c r="G845" t="s">
        <v>47</v>
      </c>
      <c r="H845" t="s">
        <v>74</v>
      </c>
      <c r="I845">
        <v>3</v>
      </c>
      <c r="J845">
        <v>75</v>
      </c>
      <c r="L845">
        <v>0</v>
      </c>
      <c r="M845" s="1">
        <v>0.83</v>
      </c>
    </row>
    <row r="846" spans="1:13" x14ac:dyDescent="0.3">
      <c r="A846" t="s">
        <v>1760</v>
      </c>
      <c r="B846" t="s">
        <v>1761</v>
      </c>
      <c r="C846" t="str">
        <f t="shared" si="19"/>
        <v>Reginald Stephens</v>
      </c>
      <c r="D846" t="s">
        <v>88</v>
      </c>
      <c r="E846">
        <v>54</v>
      </c>
      <c r="F846" t="s">
        <v>46</v>
      </c>
      <c r="G846" t="s">
        <v>47</v>
      </c>
      <c r="H846" t="s">
        <v>22</v>
      </c>
      <c r="I846">
        <v>17</v>
      </c>
      <c r="J846" s="2">
        <v>100</v>
      </c>
      <c r="K846">
        <v>0</v>
      </c>
      <c r="L846">
        <v>0</v>
      </c>
      <c r="M846" s="1">
        <v>0.71</v>
      </c>
    </row>
    <row r="847" spans="1:13" x14ac:dyDescent="0.3">
      <c r="A847" t="s">
        <v>1762</v>
      </c>
      <c r="B847" t="s">
        <v>1763</v>
      </c>
      <c r="C847" t="str">
        <f t="shared" si="19"/>
        <v>Justin Jones</v>
      </c>
      <c r="D847" t="s">
        <v>26</v>
      </c>
      <c r="E847">
        <v>54</v>
      </c>
      <c r="F847" t="s">
        <v>14</v>
      </c>
      <c r="G847" t="s">
        <v>15</v>
      </c>
      <c r="H847" t="s">
        <v>74</v>
      </c>
      <c r="I847">
        <v>9</v>
      </c>
      <c r="J847" t="s">
        <v>307</v>
      </c>
      <c r="K847">
        <v>0</v>
      </c>
      <c r="L847" t="s">
        <v>64</v>
      </c>
      <c r="M847" s="1">
        <v>0.96</v>
      </c>
    </row>
    <row r="848" spans="1:13" x14ac:dyDescent="0.3">
      <c r="A848" t="s">
        <v>1764</v>
      </c>
      <c r="B848" t="s">
        <v>1765</v>
      </c>
      <c r="C848" t="str">
        <f t="shared" si="19"/>
        <v>Kristine Garcia</v>
      </c>
      <c r="D848" t="s">
        <v>33</v>
      </c>
      <c r="E848">
        <v>53</v>
      </c>
      <c r="F848" t="s">
        <v>130</v>
      </c>
      <c r="G848" t="s">
        <v>131</v>
      </c>
      <c r="H848" t="s">
        <v>29</v>
      </c>
      <c r="I848">
        <v>16</v>
      </c>
      <c r="J848">
        <v>40</v>
      </c>
      <c r="K848">
        <v>0</v>
      </c>
      <c r="L848" t="s">
        <v>154</v>
      </c>
    </row>
    <row r="849" spans="1:13" x14ac:dyDescent="0.3">
      <c r="A849" t="s">
        <v>1766</v>
      </c>
      <c r="B849" t="s">
        <v>1767</v>
      </c>
      <c r="C849" t="str">
        <f t="shared" si="19"/>
        <v>John Nguyen</v>
      </c>
      <c r="D849" t="s">
        <v>26</v>
      </c>
      <c r="E849">
        <v>22</v>
      </c>
      <c r="F849" t="s">
        <v>119</v>
      </c>
      <c r="G849" t="s">
        <v>120</v>
      </c>
      <c r="H849" t="s">
        <v>42</v>
      </c>
      <c r="I849">
        <v>3</v>
      </c>
      <c r="J849">
        <v>75</v>
      </c>
      <c r="K849">
        <v>3.4</v>
      </c>
      <c r="L849" t="s">
        <v>70</v>
      </c>
      <c r="M849" s="1">
        <v>0.65</v>
      </c>
    </row>
    <row r="850" spans="1:13" x14ac:dyDescent="0.3">
      <c r="A850" t="s">
        <v>1768</v>
      </c>
      <c r="B850" t="s">
        <v>1769</v>
      </c>
      <c r="C850" t="str">
        <f t="shared" si="19"/>
        <v>Anna Fleming</v>
      </c>
      <c r="D850" t="s">
        <v>37</v>
      </c>
      <c r="E850">
        <v>23</v>
      </c>
      <c r="F850" t="s">
        <v>173</v>
      </c>
      <c r="G850" t="s">
        <v>68</v>
      </c>
      <c r="H850" t="s">
        <v>48</v>
      </c>
      <c r="I850">
        <v>2</v>
      </c>
      <c r="J850" t="s">
        <v>307</v>
      </c>
      <c r="K850">
        <v>1.3</v>
      </c>
      <c r="L850" t="s">
        <v>30</v>
      </c>
    </row>
    <row r="851" spans="1:13" x14ac:dyDescent="0.3">
      <c r="A851" t="s">
        <v>1770</v>
      </c>
      <c r="B851" t="s">
        <v>1771</v>
      </c>
      <c r="C851" t="str">
        <f t="shared" si="19"/>
        <v>Linda Williamson</v>
      </c>
      <c r="D851" t="s">
        <v>19</v>
      </c>
      <c r="E851">
        <v>47</v>
      </c>
      <c r="F851" t="s">
        <v>130</v>
      </c>
      <c r="G851" t="s">
        <v>131</v>
      </c>
      <c r="H851" t="s">
        <v>74</v>
      </c>
      <c r="I851">
        <v>16</v>
      </c>
      <c r="J851">
        <v>50</v>
      </c>
      <c r="K851">
        <v>1.9</v>
      </c>
      <c r="L851">
        <v>0</v>
      </c>
      <c r="M851" s="1">
        <v>0.71</v>
      </c>
    </row>
    <row r="852" spans="1:13" x14ac:dyDescent="0.3">
      <c r="A852" t="s">
        <v>1772</v>
      </c>
      <c r="B852" t="s">
        <v>1773</v>
      </c>
      <c r="C852" t="str">
        <f t="shared" si="19"/>
        <v>Roy Wilson</v>
      </c>
      <c r="D852" t="s">
        <v>93</v>
      </c>
      <c r="E852">
        <v>24</v>
      </c>
      <c r="F852" t="s">
        <v>130</v>
      </c>
      <c r="G852" t="s">
        <v>131</v>
      </c>
      <c r="H852" t="s">
        <v>34</v>
      </c>
      <c r="I852">
        <v>6</v>
      </c>
      <c r="J852">
        <v>50</v>
      </c>
      <c r="K852">
        <v>1.4</v>
      </c>
      <c r="L852" t="s">
        <v>70</v>
      </c>
      <c r="M852">
        <v>63</v>
      </c>
    </row>
    <row r="853" spans="1:13" x14ac:dyDescent="0.3">
      <c r="A853" t="s">
        <v>1774</v>
      </c>
      <c r="B853" t="s">
        <v>1775</v>
      </c>
      <c r="C853" t="str">
        <f t="shared" si="19"/>
        <v>Jennifer Pierce</v>
      </c>
      <c r="D853" t="s">
        <v>13</v>
      </c>
      <c r="E853">
        <v>57</v>
      </c>
      <c r="F853" t="s">
        <v>89</v>
      </c>
      <c r="G853" t="s">
        <v>90</v>
      </c>
      <c r="H853" t="s">
        <v>69</v>
      </c>
      <c r="I853">
        <v>10</v>
      </c>
      <c r="J853" s="2">
        <v>100</v>
      </c>
      <c r="K853">
        <v>4.3</v>
      </c>
      <c r="L853" t="b">
        <v>0</v>
      </c>
    </row>
    <row r="854" spans="1:13" x14ac:dyDescent="0.3">
      <c r="A854" t="s">
        <v>1776</v>
      </c>
      <c r="B854" t="s">
        <v>1777</v>
      </c>
      <c r="C854" t="str">
        <f t="shared" si="19"/>
        <v>Jason Johnson</v>
      </c>
      <c r="D854" t="s">
        <v>93</v>
      </c>
      <c r="E854">
        <v>48</v>
      </c>
      <c r="F854" t="s">
        <v>184</v>
      </c>
      <c r="G854" t="s">
        <v>68</v>
      </c>
      <c r="H854" t="s">
        <v>29</v>
      </c>
      <c r="I854">
        <v>16</v>
      </c>
      <c r="J854" s="2">
        <v>30</v>
      </c>
      <c r="L854" t="s">
        <v>154</v>
      </c>
      <c r="M854" s="1">
        <v>0.97</v>
      </c>
    </row>
    <row r="855" spans="1:13" x14ac:dyDescent="0.3">
      <c r="A855" t="s">
        <v>1778</v>
      </c>
      <c r="B855" t="s">
        <v>1779</v>
      </c>
      <c r="C855" t="str">
        <f t="shared" si="19"/>
        <v>Jasmine Lane</v>
      </c>
      <c r="D855" t="s">
        <v>73</v>
      </c>
      <c r="E855">
        <v>21</v>
      </c>
      <c r="F855" t="s">
        <v>59</v>
      </c>
      <c r="G855" t="s">
        <v>60</v>
      </c>
      <c r="H855" t="s">
        <v>69</v>
      </c>
      <c r="I855">
        <v>0</v>
      </c>
      <c r="J855" s="2">
        <v>100</v>
      </c>
      <c r="K855">
        <v>4.3</v>
      </c>
      <c r="L855">
        <v>0</v>
      </c>
    </row>
    <row r="856" spans="1:13" x14ac:dyDescent="0.3">
      <c r="A856" t="s">
        <v>1780</v>
      </c>
      <c r="B856" t="s">
        <v>1781</v>
      </c>
      <c r="C856" t="str">
        <f t="shared" si="19"/>
        <v>Evan Soto</v>
      </c>
      <c r="D856" t="s">
        <v>45</v>
      </c>
      <c r="E856">
        <v>33</v>
      </c>
      <c r="F856" t="s">
        <v>81</v>
      </c>
      <c r="G856" t="s">
        <v>82</v>
      </c>
      <c r="H856" t="s">
        <v>42</v>
      </c>
      <c r="I856">
        <v>13</v>
      </c>
      <c r="J856" t="s">
        <v>49</v>
      </c>
      <c r="K856">
        <v>0</v>
      </c>
      <c r="L856" t="b">
        <v>1</v>
      </c>
    </row>
    <row r="857" spans="1:13" x14ac:dyDescent="0.3">
      <c r="A857" t="s">
        <v>1782</v>
      </c>
      <c r="B857" t="s">
        <v>1783</v>
      </c>
      <c r="C857" t="str">
        <f t="shared" si="19"/>
        <v>Kevin Serrano</v>
      </c>
      <c r="D857" t="s">
        <v>93</v>
      </c>
      <c r="E857">
        <v>41</v>
      </c>
      <c r="F857" t="s">
        <v>59</v>
      </c>
      <c r="G857" t="s">
        <v>60</v>
      </c>
      <c r="H857" t="s">
        <v>85</v>
      </c>
      <c r="I857">
        <v>12</v>
      </c>
      <c r="K857">
        <v>1.3</v>
      </c>
      <c r="L857">
        <v>0</v>
      </c>
      <c r="M857" s="1">
        <v>0.85</v>
      </c>
    </row>
    <row r="858" spans="1:13" x14ac:dyDescent="0.3">
      <c r="A858" t="s">
        <v>1784</v>
      </c>
      <c r="B858" t="s">
        <v>1785</v>
      </c>
      <c r="C858" t="str">
        <f t="shared" si="19"/>
        <v>Nathaniel Benson</v>
      </c>
      <c r="D858" t="s">
        <v>58</v>
      </c>
      <c r="E858">
        <v>40</v>
      </c>
      <c r="F858" t="s">
        <v>20</v>
      </c>
      <c r="G858" t="s">
        <v>21</v>
      </c>
      <c r="H858" t="s">
        <v>74</v>
      </c>
      <c r="I858">
        <v>13</v>
      </c>
      <c r="J858" t="s">
        <v>94</v>
      </c>
      <c r="K858">
        <v>2.9</v>
      </c>
      <c r="L858" t="s">
        <v>154</v>
      </c>
      <c r="M858" s="1">
        <v>0.82</v>
      </c>
    </row>
    <row r="859" spans="1:13" x14ac:dyDescent="0.3">
      <c r="A859" t="s">
        <v>1786</v>
      </c>
      <c r="B859" t="s">
        <v>1787</v>
      </c>
      <c r="C859" t="str">
        <f t="shared" si="19"/>
        <v>Deanna Miles</v>
      </c>
      <c r="D859" t="s">
        <v>13</v>
      </c>
      <c r="E859">
        <v>40</v>
      </c>
      <c r="F859" t="s">
        <v>173</v>
      </c>
      <c r="G859" t="s">
        <v>68</v>
      </c>
      <c r="H859" t="s">
        <v>29</v>
      </c>
      <c r="I859">
        <v>22</v>
      </c>
      <c r="J859" t="s">
        <v>52</v>
      </c>
      <c r="K859">
        <v>4.3</v>
      </c>
      <c r="L859">
        <v>0</v>
      </c>
      <c r="M859" s="1">
        <v>0.95</v>
      </c>
    </row>
    <row r="860" spans="1:13" x14ac:dyDescent="0.3">
      <c r="A860" t="s">
        <v>1788</v>
      </c>
      <c r="B860" t="s">
        <v>1789</v>
      </c>
      <c r="C860" t="str">
        <f t="shared" si="19"/>
        <v>Beverly Roy</v>
      </c>
      <c r="D860" t="s">
        <v>73</v>
      </c>
      <c r="E860">
        <v>20</v>
      </c>
      <c r="F860" t="s">
        <v>55</v>
      </c>
      <c r="G860" t="s">
        <v>21</v>
      </c>
      <c r="H860" t="s">
        <v>29</v>
      </c>
      <c r="I860">
        <v>1</v>
      </c>
      <c r="K860">
        <v>2.7</v>
      </c>
      <c r="L860">
        <v>0</v>
      </c>
      <c r="M860">
        <v>94</v>
      </c>
    </row>
    <row r="861" spans="1:13" x14ac:dyDescent="0.3">
      <c r="A861" t="s">
        <v>1790</v>
      </c>
      <c r="B861" t="s">
        <v>1791</v>
      </c>
      <c r="C861" t="str">
        <f t="shared" si="19"/>
        <v>Heather Saunders</v>
      </c>
      <c r="D861" t="s">
        <v>33</v>
      </c>
      <c r="E861">
        <v>42</v>
      </c>
      <c r="F861" t="s">
        <v>173</v>
      </c>
      <c r="G861" t="s">
        <v>68</v>
      </c>
      <c r="H861" t="s">
        <v>34</v>
      </c>
      <c r="J861" s="2">
        <v>50</v>
      </c>
      <c r="K861">
        <v>4.2</v>
      </c>
      <c r="M861" s="1">
        <v>0.96</v>
      </c>
    </row>
    <row r="862" spans="1:13" x14ac:dyDescent="0.3">
      <c r="A862" t="s">
        <v>1792</v>
      </c>
      <c r="B862" t="s">
        <v>1793</v>
      </c>
      <c r="C862" t="str">
        <f t="shared" si="19"/>
        <v>Nicholas Guerrero</v>
      </c>
      <c r="D862" t="s">
        <v>45</v>
      </c>
      <c r="E862">
        <v>32</v>
      </c>
      <c r="F862" t="s">
        <v>123</v>
      </c>
      <c r="G862" t="s">
        <v>21</v>
      </c>
      <c r="H862" t="s">
        <v>16</v>
      </c>
      <c r="I862">
        <v>12</v>
      </c>
      <c r="J862">
        <v>40</v>
      </c>
      <c r="K862">
        <v>0</v>
      </c>
      <c r="L862" t="s">
        <v>64</v>
      </c>
      <c r="M862" s="1">
        <v>0.63</v>
      </c>
    </row>
    <row r="863" spans="1:13" x14ac:dyDescent="0.3">
      <c r="A863" t="s">
        <v>1794</v>
      </c>
      <c r="B863" t="s">
        <v>1795</v>
      </c>
      <c r="C863" t="str">
        <f t="shared" si="19"/>
        <v>Christopher Johnson</v>
      </c>
      <c r="D863" t="s">
        <v>93</v>
      </c>
      <c r="E863">
        <v>60</v>
      </c>
      <c r="F863" t="s">
        <v>81</v>
      </c>
      <c r="G863" t="s">
        <v>82</v>
      </c>
      <c r="H863" t="s">
        <v>42</v>
      </c>
      <c r="J863">
        <v>20</v>
      </c>
      <c r="K863">
        <v>2.2000000000000002</v>
      </c>
      <c r="L863" t="b">
        <v>0</v>
      </c>
      <c r="M863" s="1">
        <v>0.6</v>
      </c>
    </row>
    <row r="864" spans="1:13" x14ac:dyDescent="0.3">
      <c r="A864" t="s">
        <v>1796</v>
      </c>
      <c r="B864" t="s">
        <v>1797</v>
      </c>
      <c r="C864" t="str">
        <f t="shared" si="19"/>
        <v>Steven Flowers</v>
      </c>
      <c r="D864" t="s">
        <v>88</v>
      </c>
      <c r="E864">
        <v>46</v>
      </c>
      <c r="F864" t="s">
        <v>134</v>
      </c>
      <c r="G864" t="s">
        <v>135</v>
      </c>
      <c r="H864" t="s">
        <v>110</v>
      </c>
      <c r="I864">
        <v>12</v>
      </c>
      <c r="J864">
        <v>50</v>
      </c>
      <c r="K864">
        <v>4.7</v>
      </c>
      <c r="L864" t="s">
        <v>64</v>
      </c>
      <c r="M864" s="1">
        <v>0.77</v>
      </c>
    </row>
    <row r="865" spans="1:13" x14ac:dyDescent="0.3">
      <c r="A865" t="s">
        <v>1798</v>
      </c>
      <c r="B865" t="s">
        <v>1799</v>
      </c>
      <c r="C865" t="str">
        <f t="shared" si="19"/>
        <v>Marvin Woods III</v>
      </c>
      <c r="D865" t="s">
        <v>26</v>
      </c>
      <c r="E865">
        <v>29</v>
      </c>
      <c r="F865" t="s">
        <v>169</v>
      </c>
      <c r="G865" t="s">
        <v>170</v>
      </c>
      <c r="H865" t="s">
        <v>85</v>
      </c>
      <c r="I865">
        <v>0</v>
      </c>
      <c r="J865">
        <v>30</v>
      </c>
      <c r="K865">
        <v>0</v>
      </c>
      <c r="L865">
        <v>0</v>
      </c>
      <c r="M865" s="1">
        <v>0.63</v>
      </c>
    </row>
    <row r="866" spans="1:13" x14ac:dyDescent="0.3">
      <c r="A866" t="s">
        <v>1800</v>
      </c>
      <c r="B866" t="s">
        <v>1801</v>
      </c>
      <c r="C866" t="str">
        <f t="shared" si="19"/>
        <v>Michelle Cook</v>
      </c>
      <c r="D866" t="s">
        <v>19</v>
      </c>
      <c r="E866">
        <v>39</v>
      </c>
      <c r="F866" t="s">
        <v>103</v>
      </c>
      <c r="G866" t="s">
        <v>104</v>
      </c>
      <c r="H866" t="s">
        <v>22</v>
      </c>
      <c r="I866">
        <v>18</v>
      </c>
      <c r="J866">
        <v>20</v>
      </c>
      <c r="K866">
        <v>2.5</v>
      </c>
      <c r="L866" t="s">
        <v>64</v>
      </c>
      <c r="M866" s="1">
        <v>0.61</v>
      </c>
    </row>
    <row r="867" spans="1:13" x14ac:dyDescent="0.3">
      <c r="A867" t="s">
        <v>1802</v>
      </c>
      <c r="B867" t="s">
        <v>1803</v>
      </c>
      <c r="C867" t="str">
        <f t="shared" si="19"/>
        <v>Logan Zamora</v>
      </c>
      <c r="D867" t="s">
        <v>58</v>
      </c>
      <c r="E867">
        <v>55</v>
      </c>
      <c r="F867" t="s">
        <v>119</v>
      </c>
      <c r="G867" t="s">
        <v>120</v>
      </c>
      <c r="H867" t="s">
        <v>22</v>
      </c>
      <c r="I867">
        <v>2</v>
      </c>
      <c r="J867" s="2">
        <v>50</v>
      </c>
      <c r="K867">
        <v>3.9</v>
      </c>
      <c r="L867" t="s">
        <v>64</v>
      </c>
      <c r="M867" s="1">
        <v>0.88</v>
      </c>
    </row>
    <row r="868" spans="1:13" x14ac:dyDescent="0.3">
      <c r="A868" t="s">
        <v>1804</v>
      </c>
      <c r="B868" t="s">
        <v>1805</v>
      </c>
      <c r="C868" t="str">
        <f t="shared" si="19"/>
        <v>Casey Roberts</v>
      </c>
      <c r="D868" t="s">
        <v>45</v>
      </c>
      <c r="E868">
        <v>55</v>
      </c>
      <c r="F868" t="s">
        <v>59</v>
      </c>
      <c r="G868" t="s">
        <v>60</v>
      </c>
      <c r="H868" t="s">
        <v>74</v>
      </c>
      <c r="J868" t="s">
        <v>23</v>
      </c>
      <c r="K868">
        <v>1.2</v>
      </c>
      <c r="L868">
        <v>1</v>
      </c>
      <c r="M868" s="1">
        <v>0.69</v>
      </c>
    </row>
    <row r="869" spans="1:13" x14ac:dyDescent="0.3">
      <c r="A869" t="s">
        <v>1806</v>
      </c>
      <c r="B869" t="s">
        <v>1807</v>
      </c>
      <c r="C869" t="str">
        <f t="shared" si="19"/>
        <v>Jerry Price</v>
      </c>
      <c r="D869" t="s">
        <v>93</v>
      </c>
      <c r="E869">
        <v>40</v>
      </c>
      <c r="F869" t="s">
        <v>46</v>
      </c>
      <c r="G869" t="s">
        <v>47</v>
      </c>
      <c r="H869" t="s">
        <v>48</v>
      </c>
      <c r="I869">
        <v>2</v>
      </c>
      <c r="J869">
        <v>75</v>
      </c>
      <c r="K869">
        <v>4.5</v>
      </c>
      <c r="L869" t="s">
        <v>64</v>
      </c>
    </row>
    <row r="870" spans="1:13" x14ac:dyDescent="0.3">
      <c r="A870" t="s">
        <v>1808</v>
      </c>
      <c r="B870" t="s">
        <v>1809</v>
      </c>
      <c r="C870" t="str">
        <f t="shared" si="19"/>
        <v>Kelly Ellis</v>
      </c>
      <c r="D870" t="s">
        <v>13</v>
      </c>
      <c r="E870">
        <v>56</v>
      </c>
      <c r="F870" t="s">
        <v>169</v>
      </c>
      <c r="G870" t="s">
        <v>170</v>
      </c>
      <c r="H870" t="s">
        <v>69</v>
      </c>
      <c r="I870">
        <v>35</v>
      </c>
      <c r="J870" s="2">
        <v>40</v>
      </c>
      <c r="K870">
        <v>2.7</v>
      </c>
      <c r="L870" t="b">
        <v>1</v>
      </c>
      <c r="M870" s="1">
        <v>0.82</v>
      </c>
    </row>
    <row r="871" spans="1:13" x14ac:dyDescent="0.3">
      <c r="A871" t="s">
        <v>1810</v>
      </c>
      <c r="B871" t="s">
        <v>1811</v>
      </c>
      <c r="C871" t="str">
        <f t="shared" si="19"/>
        <v>Caleb Guerra</v>
      </c>
      <c r="D871" t="s">
        <v>58</v>
      </c>
      <c r="E871">
        <v>57</v>
      </c>
      <c r="F871" t="s">
        <v>173</v>
      </c>
      <c r="G871" t="s">
        <v>68</v>
      </c>
      <c r="H871" t="s">
        <v>22</v>
      </c>
      <c r="I871">
        <v>21</v>
      </c>
      <c r="J871">
        <v>75</v>
      </c>
      <c r="K871">
        <v>2</v>
      </c>
      <c r="L871" t="s">
        <v>30</v>
      </c>
      <c r="M871" s="1">
        <v>0.96</v>
      </c>
    </row>
    <row r="872" spans="1:13" x14ac:dyDescent="0.3">
      <c r="A872" t="s">
        <v>1812</v>
      </c>
      <c r="B872" t="s">
        <v>1813</v>
      </c>
      <c r="C872" t="str">
        <f t="shared" si="19"/>
        <v>Samantha Norman</v>
      </c>
      <c r="D872" t="s">
        <v>33</v>
      </c>
      <c r="E872">
        <v>56</v>
      </c>
      <c r="F872" t="s">
        <v>119</v>
      </c>
      <c r="G872" t="s">
        <v>120</v>
      </c>
      <c r="H872" t="s">
        <v>85</v>
      </c>
      <c r="I872">
        <v>3</v>
      </c>
      <c r="J872" s="2">
        <v>40</v>
      </c>
      <c r="K872">
        <v>1.7</v>
      </c>
      <c r="L872" t="s">
        <v>30</v>
      </c>
      <c r="M872" s="1">
        <v>0.71</v>
      </c>
    </row>
    <row r="873" spans="1:13" x14ac:dyDescent="0.3">
      <c r="A873" t="s">
        <v>1814</v>
      </c>
      <c r="B873" t="s">
        <v>1815</v>
      </c>
      <c r="C873" t="str">
        <f t="shared" si="19"/>
        <v>Sarah Clarke</v>
      </c>
      <c r="D873" t="s">
        <v>13</v>
      </c>
      <c r="E873">
        <v>49</v>
      </c>
      <c r="F873" t="s">
        <v>27</v>
      </c>
      <c r="G873" t="s">
        <v>28</v>
      </c>
      <c r="H873" t="s">
        <v>22</v>
      </c>
      <c r="I873">
        <v>24</v>
      </c>
      <c r="J873" s="2">
        <v>75</v>
      </c>
      <c r="K873">
        <v>3</v>
      </c>
      <c r="L873">
        <v>1</v>
      </c>
      <c r="M873" s="1">
        <v>0.77</v>
      </c>
    </row>
    <row r="874" spans="1:13" x14ac:dyDescent="0.3">
      <c r="A874" t="s">
        <v>1816</v>
      </c>
      <c r="B874" t="s">
        <v>1817</v>
      </c>
      <c r="C874" t="str">
        <f t="shared" si="19"/>
        <v>Aaron Blair</v>
      </c>
      <c r="D874" t="s">
        <v>58</v>
      </c>
      <c r="E874">
        <v>26</v>
      </c>
      <c r="F874" t="s">
        <v>184</v>
      </c>
      <c r="G874" t="s">
        <v>68</v>
      </c>
      <c r="H874" t="s">
        <v>16</v>
      </c>
      <c r="J874" s="2">
        <v>75</v>
      </c>
      <c r="K874">
        <v>2.1</v>
      </c>
      <c r="L874" t="s">
        <v>64</v>
      </c>
    </row>
    <row r="875" spans="1:13" x14ac:dyDescent="0.3">
      <c r="A875" t="s">
        <v>1818</v>
      </c>
      <c r="B875" t="s">
        <v>1819</v>
      </c>
      <c r="C875" t="str">
        <f t="shared" ref="C875:C877" si="20">B875</f>
        <v>Courtney Burton</v>
      </c>
      <c r="D875" t="s">
        <v>73</v>
      </c>
      <c r="E875">
        <v>36</v>
      </c>
      <c r="F875" t="s">
        <v>108</v>
      </c>
      <c r="G875" t="s">
        <v>109</v>
      </c>
      <c r="H875" t="s">
        <v>69</v>
      </c>
      <c r="I875">
        <v>0</v>
      </c>
      <c r="J875">
        <v>75</v>
      </c>
      <c r="K875">
        <v>1.5</v>
      </c>
      <c r="M875" s="1">
        <v>0.73</v>
      </c>
    </row>
    <row r="876" spans="1:13" x14ac:dyDescent="0.3">
      <c r="A876" t="s">
        <v>1820</v>
      </c>
      <c r="B876" t="s">
        <v>1821</v>
      </c>
      <c r="C876" t="str">
        <f t="shared" si="20"/>
        <v>Gerald Taylor</v>
      </c>
      <c r="D876" t="s">
        <v>88</v>
      </c>
      <c r="E876">
        <v>20</v>
      </c>
      <c r="F876" t="s">
        <v>119</v>
      </c>
      <c r="G876" t="s">
        <v>120</v>
      </c>
      <c r="H876" t="s">
        <v>34</v>
      </c>
      <c r="I876">
        <v>2</v>
      </c>
      <c r="J876" t="s">
        <v>105</v>
      </c>
      <c r="K876">
        <v>1.7</v>
      </c>
      <c r="L876" t="b">
        <v>1</v>
      </c>
      <c r="M876" s="1">
        <v>0.6</v>
      </c>
    </row>
    <row r="877" spans="1:13" x14ac:dyDescent="0.3">
      <c r="A877" t="s">
        <v>1822</v>
      </c>
      <c r="B877" t="s">
        <v>1823</v>
      </c>
      <c r="C877" t="str">
        <f t="shared" si="20"/>
        <v>Mary Ward</v>
      </c>
      <c r="D877" t="s">
        <v>13</v>
      </c>
      <c r="E877">
        <v>40</v>
      </c>
      <c r="F877" t="s">
        <v>184</v>
      </c>
      <c r="G877" t="s">
        <v>68</v>
      </c>
      <c r="H877" t="s">
        <v>42</v>
      </c>
      <c r="K877">
        <v>1.2</v>
      </c>
      <c r="L877">
        <v>1</v>
      </c>
      <c r="M877" s="1">
        <v>0.67</v>
      </c>
    </row>
    <row r="878" spans="1:13" x14ac:dyDescent="0.3">
      <c r="A878" t="s">
        <v>1824</v>
      </c>
      <c r="B878" t="s">
        <v>1825</v>
      </c>
      <c r="C878" t="str">
        <f>RIGHT(B878, LEN(B878) - FIND(". ", B878))</f>
        <v xml:space="preserve"> Lisa Beard DVM</v>
      </c>
      <c r="D878" t="s">
        <v>37</v>
      </c>
      <c r="E878">
        <v>30</v>
      </c>
      <c r="F878" t="s">
        <v>89</v>
      </c>
      <c r="G878" t="s">
        <v>90</v>
      </c>
      <c r="H878" t="s">
        <v>22</v>
      </c>
      <c r="I878">
        <v>6</v>
      </c>
      <c r="J878">
        <v>75</v>
      </c>
      <c r="K878">
        <v>0</v>
      </c>
      <c r="L878" t="b">
        <v>0</v>
      </c>
      <c r="M878" s="1">
        <v>0.8</v>
      </c>
    </row>
    <row r="879" spans="1:13" x14ac:dyDescent="0.3">
      <c r="A879" t="s">
        <v>1826</v>
      </c>
      <c r="B879" t="s">
        <v>1827</v>
      </c>
      <c r="C879" t="str">
        <f t="shared" ref="C879:C880" si="21">B879</f>
        <v>Larry Wallace</v>
      </c>
      <c r="D879" t="s">
        <v>93</v>
      </c>
      <c r="E879">
        <v>51</v>
      </c>
      <c r="F879" t="s">
        <v>20</v>
      </c>
      <c r="G879" t="s">
        <v>21</v>
      </c>
      <c r="H879" t="s">
        <v>29</v>
      </c>
      <c r="I879">
        <v>21</v>
      </c>
      <c r="J879">
        <v>20</v>
      </c>
      <c r="L879" t="s">
        <v>70</v>
      </c>
    </row>
    <row r="880" spans="1:13" x14ac:dyDescent="0.3">
      <c r="A880" t="s">
        <v>1828</v>
      </c>
      <c r="B880" t="s">
        <v>1829</v>
      </c>
      <c r="C880" t="str">
        <f t="shared" si="21"/>
        <v>Jeremiah Thompson</v>
      </c>
      <c r="D880" t="s">
        <v>93</v>
      </c>
      <c r="E880">
        <v>46</v>
      </c>
      <c r="F880" t="s">
        <v>55</v>
      </c>
      <c r="G880" t="s">
        <v>21</v>
      </c>
      <c r="H880" t="s">
        <v>69</v>
      </c>
      <c r="I880">
        <v>24</v>
      </c>
      <c r="J880">
        <v>40</v>
      </c>
      <c r="K880">
        <v>3.3</v>
      </c>
      <c r="L880">
        <v>1</v>
      </c>
      <c r="M880" s="1">
        <v>0.87</v>
      </c>
    </row>
    <row r="881" spans="1:13" x14ac:dyDescent="0.3">
      <c r="A881" t="s">
        <v>1830</v>
      </c>
      <c r="B881" t="s">
        <v>1831</v>
      </c>
      <c r="C881" t="str">
        <f>RIGHT(B881, LEN(B881) - FIND(". ", B881))</f>
        <v xml:space="preserve"> Jessica Williams DVM</v>
      </c>
      <c r="D881" t="s">
        <v>19</v>
      </c>
      <c r="E881">
        <v>25</v>
      </c>
      <c r="F881" t="s">
        <v>108</v>
      </c>
      <c r="G881" t="s">
        <v>109</v>
      </c>
      <c r="H881" t="s">
        <v>42</v>
      </c>
      <c r="I881">
        <v>6</v>
      </c>
      <c r="J881">
        <v>20</v>
      </c>
      <c r="K881">
        <v>2.1</v>
      </c>
      <c r="L881" t="s">
        <v>154</v>
      </c>
    </row>
    <row r="882" spans="1:13" x14ac:dyDescent="0.3">
      <c r="A882" t="s">
        <v>1832</v>
      </c>
      <c r="B882" t="s">
        <v>1833</v>
      </c>
      <c r="C882" t="str">
        <f t="shared" ref="C882:C923" si="22">B882</f>
        <v>Martin Moreno</v>
      </c>
      <c r="D882" t="s">
        <v>26</v>
      </c>
      <c r="E882">
        <v>53</v>
      </c>
      <c r="F882" t="s">
        <v>40</v>
      </c>
      <c r="G882" t="s">
        <v>41</v>
      </c>
      <c r="H882" t="s">
        <v>34</v>
      </c>
      <c r="I882">
        <v>32</v>
      </c>
      <c r="J882">
        <v>50</v>
      </c>
      <c r="L882">
        <v>1</v>
      </c>
    </row>
    <row r="883" spans="1:13" x14ac:dyDescent="0.3">
      <c r="A883" t="s">
        <v>1834</v>
      </c>
      <c r="B883" t="s">
        <v>1835</v>
      </c>
      <c r="C883" t="str">
        <f t="shared" si="22"/>
        <v>Yolanda Proctor</v>
      </c>
      <c r="D883" t="s">
        <v>19</v>
      </c>
      <c r="E883">
        <v>50</v>
      </c>
      <c r="F883" t="s">
        <v>134</v>
      </c>
      <c r="G883" t="s">
        <v>135</v>
      </c>
      <c r="H883" t="s">
        <v>22</v>
      </c>
      <c r="I883">
        <v>31</v>
      </c>
      <c r="J883" t="s">
        <v>23</v>
      </c>
      <c r="K883">
        <v>2.9</v>
      </c>
      <c r="L883" t="s">
        <v>70</v>
      </c>
      <c r="M883" s="1">
        <v>0.89</v>
      </c>
    </row>
    <row r="884" spans="1:13" x14ac:dyDescent="0.3">
      <c r="A884" t="s">
        <v>1836</v>
      </c>
      <c r="B884" t="s">
        <v>1837</v>
      </c>
      <c r="C884" t="str">
        <f t="shared" si="22"/>
        <v>Allen Turner</v>
      </c>
      <c r="D884" t="s">
        <v>26</v>
      </c>
      <c r="E884">
        <v>45</v>
      </c>
      <c r="F884" t="s">
        <v>108</v>
      </c>
      <c r="G884" t="s">
        <v>109</v>
      </c>
      <c r="H884" t="s">
        <v>42</v>
      </c>
      <c r="J884" t="s">
        <v>307</v>
      </c>
      <c r="K884">
        <v>3.3</v>
      </c>
      <c r="L884" t="b">
        <v>1</v>
      </c>
      <c r="M884" s="1">
        <v>0.93</v>
      </c>
    </row>
    <row r="885" spans="1:13" x14ac:dyDescent="0.3">
      <c r="A885" t="s">
        <v>1838</v>
      </c>
      <c r="B885" t="s">
        <v>1839</v>
      </c>
      <c r="C885" t="str">
        <f t="shared" si="22"/>
        <v>Beth Huff</v>
      </c>
      <c r="D885" t="s">
        <v>33</v>
      </c>
      <c r="E885">
        <v>48</v>
      </c>
      <c r="F885" t="s">
        <v>123</v>
      </c>
      <c r="G885" t="s">
        <v>21</v>
      </c>
      <c r="H885" t="s">
        <v>74</v>
      </c>
      <c r="I885">
        <v>24</v>
      </c>
      <c r="J885">
        <v>100</v>
      </c>
      <c r="K885">
        <v>4.8</v>
      </c>
      <c r="L885">
        <v>1</v>
      </c>
      <c r="M885" s="1">
        <v>0.84</v>
      </c>
    </row>
    <row r="886" spans="1:13" x14ac:dyDescent="0.3">
      <c r="A886" t="s">
        <v>1840</v>
      </c>
      <c r="B886" t="s">
        <v>1841</v>
      </c>
      <c r="C886" t="str">
        <f t="shared" si="22"/>
        <v>John Mckinney</v>
      </c>
      <c r="D886" t="s">
        <v>58</v>
      </c>
      <c r="E886">
        <v>30</v>
      </c>
      <c r="F886" t="s">
        <v>46</v>
      </c>
      <c r="G886" t="s">
        <v>47</v>
      </c>
      <c r="H886" t="s">
        <v>85</v>
      </c>
      <c r="J886" s="2">
        <v>100</v>
      </c>
      <c r="K886">
        <v>4.5</v>
      </c>
      <c r="M886" s="1">
        <v>0.78</v>
      </c>
    </row>
    <row r="887" spans="1:13" x14ac:dyDescent="0.3">
      <c r="A887" t="s">
        <v>1842</v>
      </c>
      <c r="B887" t="s">
        <v>560</v>
      </c>
      <c r="C887" t="str">
        <f t="shared" si="22"/>
        <v>Sarah Ho</v>
      </c>
      <c r="D887" t="s">
        <v>33</v>
      </c>
      <c r="E887">
        <v>33</v>
      </c>
      <c r="F887" t="s">
        <v>40</v>
      </c>
      <c r="G887" t="s">
        <v>41</v>
      </c>
      <c r="H887" t="s">
        <v>69</v>
      </c>
      <c r="I887">
        <v>6</v>
      </c>
      <c r="J887" s="2">
        <v>50</v>
      </c>
      <c r="K887">
        <v>3.1</v>
      </c>
      <c r="L887" t="s">
        <v>154</v>
      </c>
      <c r="M887" s="1">
        <v>0.9</v>
      </c>
    </row>
    <row r="888" spans="1:13" x14ac:dyDescent="0.3">
      <c r="A888" t="s">
        <v>1843</v>
      </c>
      <c r="B888" t="s">
        <v>1844</v>
      </c>
      <c r="C888" t="str">
        <f t="shared" si="22"/>
        <v>Lindsey Wang</v>
      </c>
      <c r="D888" t="s">
        <v>33</v>
      </c>
      <c r="E888">
        <v>50</v>
      </c>
      <c r="F888" t="s">
        <v>63</v>
      </c>
      <c r="G888" t="s">
        <v>21</v>
      </c>
      <c r="H888" t="s">
        <v>85</v>
      </c>
      <c r="I888">
        <v>11</v>
      </c>
      <c r="K888">
        <v>4.9000000000000004</v>
      </c>
      <c r="L888">
        <v>1</v>
      </c>
      <c r="M888" s="1">
        <v>0.88</v>
      </c>
    </row>
    <row r="889" spans="1:13" x14ac:dyDescent="0.3">
      <c r="A889" t="s">
        <v>1845</v>
      </c>
      <c r="B889" t="s">
        <v>1846</v>
      </c>
      <c r="C889" t="str">
        <f t="shared" si="22"/>
        <v>Margaret Schwartz</v>
      </c>
      <c r="D889" t="s">
        <v>73</v>
      </c>
      <c r="E889">
        <v>24</v>
      </c>
      <c r="F889" t="s">
        <v>46</v>
      </c>
      <c r="G889" t="s">
        <v>47</v>
      </c>
      <c r="H889" t="s">
        <v>48</v>
      </c>
      <c r="J889" s="2">
        <v>20</v>
      </c>
      <c r="K889">
        <v>0</v>
      </c>
      <c r="L889">
        <v>0</v>
      </c>
      <c r="M889" s="1">
        <v>0.76</v>
      </c>
    </row>
    <row r="890" spans="1:13" x14ac:dyDescent="0.3">
      <c r="A890" t="s">
        <v>1847</v>
      </c>
      <c r="B890" t="s">
        <v>1848</v>
      </c>
      <c r="C890" t="str">
        <f t="shared" si="22"/>
        <v>Kyle Ray</v>
      </c>
      <c r="D890" t="s">
        <v>26</v>
      </c>
      <c r="E890">
        <v>38</v>
      </c>
      <c r="F890" t="s">
        <v>14</v>
      </c>
      <c r="G890" t="s">
        <v>15</v>
      </c>
      <c r="H890" t="s">
        <v>34</v>
      </c>
      <c r="I890">
        <v>14</v>
      </c>
      <c r="J890">
        <v>75</v>
      </c>
      <c r="K890">
        <v>1.5</v>
      </c>
      <c r="L890" t="s">
        <v>30</v>
      </c>
      <c r="M890" s="1">
        <v>0.62</v>
      </c>
    </row>
    <row r="891" spans="1:13" x14ac:dyDescent="0.3">
      <c r="A891" t="s">
        <v>1849</v>
      </c>
      <c r="B891" t="s">
        <v>1850</v>
      </c>
      <c r="C891" t="str">
        <f t="shared" si="22"/>
        <v>Isaac Hebert</v>
      </c>
      <c r="D891" t="s">
        <v>58</v>
      </c>
      <c r="E891">
        <v>56</v>
      </c>
      <c r="F891" t="s">
        <v>81</v>
      </c>
      <c r="G891" t="s">
        <v>82</v>
      </c>
      <c r="H891" t="s">
        <v>85</v>
      </c>
      <c r="I891">
        <v>2</v>
      </c>
      <c r="J891" s="2">
        <v>75</v>
      </c>
      <c r="K891">
        <v>2.4</v>
      </c>
      <c r="L891" t="s">
        <v>30</v>
      </c>
    </row>
    <row r="892" spans="1:13" x14ac:dyDescent="0.3">
      <c r="A892" t="s">
        <v>1851</v>
      </c>
      <c r="B892" t="s">
        <v>1852</v>
      </c>
      <c r="C892" t="str">
        <f t="shared" si="22"/>
        <v>Michele Jones</v>
      </c>
      <c r="D892" t="s">
        <v>13</v>
      </c>
      <c r="E892">
        <v>41</v>
      </c>
      <c r="F892" t="s">
        <v>119</v>
      </c>
      <c r="G892" t="s">
        <v>120</v>
      </c>
      <c r="H892" t="s">
        <v>85</v>
      </c>
      <c r="I892">
        <v>2</v>
      </c>
      <c r="J892" t="s">
        <v>23</v>
      </c>
      <c r="K892">
        <v>4.5</v>
      </c>
      <c r="L892" t="s">
        <v>30</v>
      </c>
      <c r="M892">
        <v>75</v>
      </c>
    </row>
    <row r="893" spans="1:13" x14ac:dyDescent="0.3">
      <c r="A893" t="s">
        <v>1853</v>
      </c>
      <c r="B893" t="s">
        <v>1854</v>
      </c>
      <c r="C893" t="str">
        <f t="shared" si="22"/>
        <v>Austin Allen</v>
      </c>
      <c r="D893" t="s">
        <v>93</v>
      </c>
      <c r="F893" t="s">
        <v>14</v>
      </c>
      <c r="G893" t="s">
        <v>15</v>
      </c>
      <c r="H893" t="s">
        <v>69</v>
      </c>
      <c r="I893">
        <v>11</v>
      </c>
      <c r="J893" t="s">
        <v>23</v>
      </c>
      <c r="K893">
        <v>2.5</v>
      </c>
      <c r="L893" t="s">
        <v>64</v>
      </c>
      <c r="M893">
        <v>80</v>
      </c>
    </row>
    <row r="894" spans="1:13" x14ac:dyDescent="0.3">
      <c r="A894" t="s">
        <v>1855</v>
      </c>
      <c r="B894" t="s">
        <v>1856</v>
      </c>
      <c r="C894" t="str">
        <f t="shared" si="22"/>
        <v>Haley Castro</v>
      </c>
      <c r="D894" t="s">
        <v>13</v>
      </c>
      <c r="E894">
        <v>42</v>
      </c>
      <c r="F894" t="s">
        <v>27</v>
      </c>
      <c r="G894" t="s">
        <v>28</v>
      </c>
      <c r="H894" t="s">
        <v>29</v>
      </c>
      <c r="I894">
        <v>13</v>
      </c>
      <c r="J894">
        <v>30</v>
      </c>
      <c r="K894">
        <v>3.3</v>
      </c>
      <c r="M894" s="1">
        <v>0.63</v>
      </c>
    </row>
    <row r="895" spans="1:13" x14ac:dyDescent="0.3">
      <c r="A895" t="s">
        <v>1857</v>
      </c>
      <c r="B895" t="s">
        <v>1858</v>
      </c>
      <c r="C895" t="str">
        <f t="shared" si="22"/>
        <v>David Armstrong</v>
      </c>
      <c r="D895" t="s">
        <v>93</v>
      </c>
      <c r="E895">
        <v>26</v>
      </c>
      <c r="F895" t="s">
        <v>89</v>
      </c>
      <c r="G895" t="s">
        <v>90</v>
      </c>
      <c r="H895" t="s">
        <v>16</v>
      </c>
      <c r="I895">
        <v>7</v>
      </c>
      <c r="J895">
        <v>75</v>
      </c>
      <c r="K895">
        <v>3</v>
      </c>
      <c r="M895" s="1">
        <v>0.84</v>
      </c>
    </row>
    <row r="896" spans="1:13" x14ac:dyDescent="0.3">
      <c r="A896" t="s">
        <v>1859</v>
      </c>
      <c r="B896" t="s">
        <v>1860</v>
      </c>
      <c r="C896" t="str">
        <f t="shared" si="22"/>
        <v>Wendy Mitchell</v>
      </c>
      <c r="D896" t="s">
        <v>13</v>
      </c>
      <c r="E896">
        <v>44</v>
      </c>
      <c r="F896" t="s">
        <v>123</v>
      </c>
      <c r="G896" t="s">
        <v>21</v>
      </c>
      <c r="H896" t="s">
        <v>74</v>
      </c>
      <c r="I896">
        <v>25</v>
      </c>
      <c r="J896">
        <v>75</v>
      </c>
      <c r="K896">
        <v>2.7</v>
      </c>
      <c r="L896">
        <v>1</v>
      </c>
      <c r="M896">
        <v>78</v>
      </c>
    </row>
    <row r="897" spans="1:13" x14ac:dyDescent="0.3">
      <c r="A897" t="s">
        <v>1861</v>
      </c>
      <c r="B897" t="s">
        <v>1862</v>
      </c>
      <c r="C897" t="str">
        <f t="shared" si="22"/>
        <v>Anthony Hernandez</v>
      </c>
      <c r="D897" t="s">
        <v>58</v>
      </c>
      <c r="E897">
        <v>46</v>
      </c>
      <c r="F897" t="s">
        <v>123</v>
      </c>
      <c r="G897" t="s">
        <v>21</v>
      </c>
      <c r="H897" t="s">
        <v>29</v>
      </c>
      <c r="I897">
        <v>20</v>
      </c>
      <c r="J897" s="2">
        <v>20</v>
      </c>
      <c r="K897">
        <v>1.2</v>
      </c>
      <c r="L897" t="b">
        <v>0</v>
      </c>
      <c r="M897" s="1">
        <v>0.74</v>
      </c>
    </row>
    <row r="898" spans="1:13" x14ac:dyDescent="0.3">
      <c r="A898" t="s">
        <v>1863</v>
      </c>
      <c r="B898" t="s">
        <v>1864</v>
      </c>
      <c r="C898" t="str">
        <f t="shared" si="22"/>
        <v>Erica Johnson</v>
      </c>
      <c r="D898" t="s">
        <v>37</v>
      </c>
      <c r="E898">
        <v>36</v>
      </c>
      <c r="F898" t="s">
        <v>55</v>
      </c>
      <c r="G898" t="s">
        <v>21</v>
      </c>
      <c r="H898" t="s">
        <v>69</v>
      </c>
      <c r="I898">
        <v>8</v>
      </c>
      <c r="J898">
        <v>50</v>
      </c>
      <c r="K898">
        <v>4.3</v>
      </c>
      <c r="L898">
        <v>0</v>
      </c>
      <c r="M898" s="1">
        <v>0.9</v>
      </c>
    </row>
    <row r="899" spans="1:13" x14ac:dyDescent="0.3">
      <c r="A899" t="s">
        <v>1865</v>
      </c>
      <c r="B899" t="s">
        <v>1866</v>
      </c>
      <c r="C899" t="str">
        <f t="shared" si="22"/>
        <v>Randall Barrett</v>
      </c>
      <c r="D899" t="s">
        <v>93</v>
      </c>
      <c r="E899">
        <v>26</v>
      </c>
      <c r="F899" t="s">
        <v>40</v>
      </c>
      <c r="G899" t="s">
        <v>41</v>
      </c>
      <c r="H899" t="s">
        <v>42</v>
      </c>
      <c r="I899">
        <v>6</v>
      </c>
      <c r="J899" s="2">
        <v>40</v>
      </c>
      <c r="K899">
        <v>1.3</v>
      </c>
      <c r="L899">
        <v>0</v>
      </c>
    </row>
    <row r="900" spans="1:13" x14ac:dyDescent="0.3">
      <c r="A900" t="s">
        <v>1867</v>
      </c>
      <c r="B900" t="s">
        <v>1868</v>
      </c>
      <c r="C900" t="str">
        <f t="shared" si="22"/>
        <v>Nathan Huff</v>
      </c>
      <c r="D900" t="s">
        <v>26</v>
      </c>
      <c r="E900">
        <v>21</v>
      </c>
      <c r="F900" t="s">
        <v>27</v>
      </c>
      <c r="G900" t="s">
        <v>28</v>
      </c>
      <c r="H900" t="s">
        <v>69</v>
      </c>
      <c r="I900">
        <v>3</v>
      </c>
      <c r="J900">
        <v>50</v>
      </c>
      <c r="K900">
        <v>4.5999999999999996</v>
      </c>
      <c r="L900" t="s">
        <v>70</v>
      </c>
    </row>
    <row r="901" spans="1:13" x14ac:dyDescent="0.3">
      <c r="A901" t="s">
        <v>1869</v>
      </c>
      <c r="B901" t="s">
        <v>1870</v>
      </c>
      <c r="C901" t="str">
        <f t="shared" si="22"/>
        <v>Robin Walsh</v>
      </c>
      <c r="D901" t="s">
        <v>13</v>
      </c>
      <c r="E901">
        <v>39</v>
      </c>
      <c r="F901" t="s">
        <v>46</v>
      </c>
      <c r="G901" t="s">
        <v>47</v>
      </c>
      <c r="H901" t="s">
        <v>69</v>
      </c>
      <c r="I901">
        <v>18</v>
      </c>
      <c r="J901">
        <v>50</v>
      </c>
      <c r="K901">
        <v>2.1</v>
      </c>
      <c r="L901">
        <v>0</v>
      </c>
      <c r="M901">
        <v>75</v>
      </c>
    </row>
    <row r="902" spans="1:13" x14ac:dyDescent="0.3">
      <c r="A902" t="s">
        <v>1871</v>
      </c>
      <c r="B902" t="s">
        <v>1872</v>
      </c>
      <c r="C902" t="str">
        <f t="shared" si="22"/>
        <v>Yvonne Robinson</v>
      </c>
      <c r="D902" t="s">
        <v>73</v>
      </c>
      <c r="E902">
        <v>37</v>
      </c>
      <c r="F902" t="s">
        <v>55</v>
      </c>
      <c r="G902" t="s">
        <v>21</v>
      </c>
      <c r="H902" t="s">
        <v>16</v>
      </c>
      <c r="I902">
        <v>18</v>
      </c>
      <c r="J902">
        <v>40</v>
      </c>
      <c r="K902">
        <v>4.5</v>
      </c>
      <c r="L902" t="s">
        <v>154</v>
      </c>
      <c r="M902" s="1">
        <v>0.72</v>
      </c>
    </row>
    <row r="903" spans="1:13" x14ac:dyDescent="0.3">
      <c r="A903" t="s">
        <v>1873</v>
      </c>
      <c r="B903" t="s">
        <v>1874</v>
      </c>
      <c r="C903" t="str">
        <f t="shared" si="22"/>
        <v>Kathleen Hendrix</v>
      </c>
      <c r="D903" t="s">
        <v>73</v>
      </c>
      <c r="E903">
        <v>47</v>
      </c>
      <c r="F903" t="s">
        <v>119</v>
      </c>
      <c r="G903" t="s">
        <v>120</v>
      </c>
      <c r="H903" t="s">
        <v>69</v>
      </c>
      <c r="I903">
        <v>3</v>
      </c>
      <c r="J903">
        <v>40</v>
      </c>
      <c r="K903">
        <v>4.4000000000000004</v>
      </c>
      <c r="L903" t="s">
        <v>64</v>
      </c>
      <c r="M903" s="1">
        <v>0.92</v>
      </c>
    </row>
    <row r="904" spans="1:13" x14ac:dyDescent="0.3">
      <c r="A904" t="s">
        <v>1875</v>
      </c>
      <c r="B904" t="s">
        <v>1876</v>
      </c>
      <c r="C904" t="str">
        <f t="shared" si="22"/>
        <v>Jennifer Baker</v>
      </c>
      <c r="D904" t="s">
        <v>19</v>
      </c>
      <c r="E904">
        <v>53</v>
      </c>
      <c r="F904" t="s">
        <v>119</v>
      </c>
      <c r="G904" t="s">
        <v>120</v>
      </c>
      <c r="H904" t="s">
        <v>29</v>
      </c>
      <c r="I904">
        <v>32</v>
      </c>
      <c r="J904" t="s">
        <v>307</v>
      </c>
      <c r="K904">
        <v>0</v>
      </c>
      <c r="L904" t="s">
        <v>30</v>
      </c>
    </row>
    <row r="905" spans="1:13" x14ac:dyDescent="0.3">
      <c r="A905" t="s">
        <v>1877</v>
      </c>
      <c r="B905" t="s">
        <v>1878</v>
      </c>
      <c r="C905" t="str">
        <f t="shared" si="22"/>
        <v>Kim Martinez</v>
      </c>
      <c r="D905" t="s">
        <v>37</v>
      </c>
      <c r="E905">
        <v>53</v>
      </c>
      <c r="F905" t="s">
        <v>67</v>
      </c>
      <c r="G905" t="s">
        <v>68</v>
      </c>
      <c r="H905" t="s">
        <v>22</v>
      </c>
      <c r="I905">
        <v>19</v>
      </c>
      <c r="J905" t="s">
        <v>307</v>
      </c>
      <c r="K905">
        <v>1.3</v>
      </c>
      <c r="L905">
        <v>0</v>
      </c>
    </row>
    <row r="906" spans="1:13" x14ac:dyDescent="0.3">
      <c r="A906" t="s">
        <v>1879</v>
      </c>
      <c r="B906" t="s">
        <v>1880</v>
      </c>
      <c r="C906" t="str">
        <f t="shared" si="22"/>
        <v>Andrew Little</v>
      </c>
      <c r="D906" t="s">
        <v>26</v>
      </c>
      <c r="E906">
        <v>21</v>
      </c>
      <c r="F906" t="s">
        <v>89</v>
      </c>
      <c r="G906" t="s">
        <v>90</v>
      </c>
      <c r="H906" t="s">
        <v>48</v>
      </c>
      <c r="I906">
        <v>2</v>
      </c>
      <c r="J906">
        <v>50</v>
      </c>
      <c r="K906">
        <v>2.6</v>
      </c>
      <c r="L906" t="b">
        <v>0</v>
      </c>
      <c r="M906" s="1">
        <v>0.86</v>
      </c>
    </row>
    <row r="907" spans="1:13" x14ac:dyDescent="0.3">
      <c r="A907" t="s">
        <v>1881</v>
      </c>
      <c r="B907" t="s">
        <v>1882</v>
      </c>
      <c r="C907" t="str">
        <f t="shared" si="22"/>
        <v>Kelly Shelton</v>
      </c>
      <c r="D907" t="s">
        <v>37</v>
      </c>
      <c r="E907">
        <v>35</v>
      </c>
      <c r="F907" t="s">
        <v>63</v>
      </c>
      <c r="G907" t="s">
        <v>21</v>
      </c>
      <c r="H907" t="s">
        <v>16</v>
      </c>
      <c r="I907">
        <v>0</v>
      </c>
      <c r="L907" t="s">
        <v>70</v>
      </c>
      <c r="M907">
        <v>85</v>
      </c>
    </row>
    <row r="908" spans="1:13" x14ac:dyDescent="0.3">
      <c r="A908" t="s">
        <v>1883</v>
      </c>
      <c r="B908" t="s">
        <v>1884</v>
      </c>
      <c r="C908" t="str">
        <f t="shared" si="22"/>
        <v>Steven Duncan</v>
      </c>
      <c r="D908" t="s">
        <v>93</v>
      </c>
      <c r="E908">
        <v>31</v>
      </c>
      <c r="F908" t="s">
        <v>67</v>
      </c>
      <c r="G908" t="s">
        <v>68</v>
      </c>
      <c r="H908" t="s">
        <v>110</v>
      </c>
      <c r="I908">
        <v>13</v>
      </c>
      <c r="J908" s="2">
        <v>40</v>
      </c>
      <c r="K908">
        <v>1.2</v>
      </c>
      <c r="L908" t="b">
        <v>0</v>
      </c>
      <c r="M908">
        <v>62</v>
      </c>
    </row>
    <row r="909" spans="1:13" x14ac:dyDescent="0.3">
      <c r="A909" t="s">
        <v>1885</v>
      </c>
      <c r="B909" t="s">
        <v>1886</v>
      </c>
      <c r="C909" t="str">
        <f t="shared" si="22"/>
        <v>Kristen Haney</v>
      </c>
      <c r="D909" t="s">
        <v>73</v>
      </c>
      <c r="E909">
        <v>55</v>
      </c>
      <c r="F909" t="s">
        <v>108</v>
      </c>
      <c r="G909" t="s">
        <v>109</v>
      </c>
      <c r="H909" t="s">
        <v>42</v>
      </c>
      <c r="I909">
        <v>2</v>
      </c>
      <c r="J909" t="s">
        <v>105</v>
      </c>
      <c r="K909">
        <v>3.1</v>
      </c>
      <c r="L909" t="s">
        <v>70</v>
      </c>
      <c r="M909" s="1">
        <v>0.91</v>
      </c>
    </row>
    <row r="910" spans="1:13" x14ac:dyDescent="0.3">
      <c r="A910" t="s">
        <v>1887</v>
      </c>
      <c r="B910" t="s">
        <v>1888</v>
      </c>
      <c r="C910" t="str">
        <f t="shared" si="22"/>
        <v>Kathy Reese</v>
      </c>
      <c r="D910" t="s">
        <v>13</v>
      </c>
      <c r="E910">
        <v>59</v>
      </c>
      <c r="F910" t="s">
        <v>59</v>
      </c>
      <c r="G910" t="s">
        <v>60</v>
      </c>
      <c r="H910" t="s">
        <v>34</v>
      </c>
      <c r="I910">
        <v>11</v>
      </c>
      <c r="J910" s="2">
        <v>75</v>
      </c>
      <c r="K910">
        <v>2.2999999999999998</v>
      </c>
      <c r="L910" t="s">
        <v>70</v>
      </c>
      <c r="M910" s="1">
        <v>0.8</v>
      </c>
    </row>
    <row r="911" spans="1:13" x14ac:dyDescent="0.3">
      <c r="A911" t="s">
        <v>1889</v>
      </c>
      <c r="B911" t="s">
        <v>1890</v>
      </c>
      <c r="C911" t="str">
        <f t="shared" si="22"/>
        <v>Steven Murphy</v>
      </c>
      <c r="D911" t="s">
        <v>58</v>
      </c>
      <c r="E911">
        <v>59</v>
      </c>
      <c r="F911" t="s">
        <v>130</v>
      </c>
      <c r="G911" t="s">
        <v>131</v>
      </c>
      <c r="H911" t="s">
        <v>74</v>
      </c>
      <c r="I911">
        <v>17</v>
      </c>
      <c r="J911">
        <v>100</v>
      </c>
      <c r="K911">
        <v>4</v>
      </c>
      <c r="L911" t="s">
        <v>154</v>
      </c>
      <c r="M911" s="1">
        <v>0.72</v>
      </c>
    </row>
    <row r="912" spans="1:13" x14ac:dyDescent="0.3">
      <c r="A912" t="s">
        <v>1891</v>
      </c>
      <c r="B912" t="s">
        <v>1892</v>
      </c>
      <c r="C912" t="str">
        <f t="shared" si="22"/>
        <v>William Hartman</v>
      </c>
      <c r="D912" t="s">
        <v>88</v>
      </c>
      <c r="E912">
        <v>47</v>
      </c>
      <c r="F912" t="s">
        <v>89</v>
      </c>
      <c r="G912" t="s">
        <v>90</v>
      </c>
      <c r="H912" t="s">
        <v>16</v>
      </c>
      <c r="I912">
        <v>10</v>
      </c>
      <c r="J912" s="2">
        <v>75</v>
      </c>
      <c r="K912">
        <v>1.9</v>
      </c>
    </row>
    <row r="913" spans="1:13" x14ac:dyDescent="0.3">
      <c r="A913" t="s">
        <v>1893</v>
      </c>
      <c r="B913" t="s">
        <v>1894</v>
      </c>
      <c r="C913" t="str">
        <f t="shared" si="22"/>
        <v>Sonya Haley</v>
      </c>
      <c r="D913" t="s">
        <v>37</v>
      </c>
      <c r="E913">
        <v>53</v>
      </c>
      <c r="F913" t="s">
        <v>148</v>
      </c>
      <c r="G913" t="s">
        <v>149</v>
      </c>
      <c r="H913" t="s">
        <v>110</v>
      </c>
      <c r="I913">
        <v>26</v>
      </c>
      <c r="J913">
        <v>75</v>
      </c>
      <c r="K913">
        <v>2.4</v>
      </c>
      <c r="L913" t="s">
        <v>64</v>
      </c>
    </row>
    <row r="914" spans="1:13" x14ac:dyDescent="0.3">
      <c r="A914" t="s">
        <v>1895</v>
      </c>
      <c r="B914" t="s">
        <v>512</v>
      </c>
      <c r="C914" t="str">
        <f t="shared" si="22"/>
        <v>Robert Evans</v>
      </c>
      <c r="D914" t="s">
        <v>58</v>
      </c>
      <c r="E914">
        <v>49</v>
      </c>
      <c r="F914" t="s">
        <v>148</v>
      </c>
      <c r="G914" t="s">
        <v>149</v>
      </c>
      <c r="H914" t="s">
        <v>48</v>
      </c>
      <c r="J914" s="2">
        <v>30</v>
      </c>
      <c r="L914" t="s">
        <v>64</v>
      </c>
      <c r="M914" s="1">
        <v>0.74</v>
      </c>
    </row>
    <row r="915" spans="1:13" x14ac:dyDescent="0.3">
      <c r="A915" t="s">
        <v>1896</v>
      </c>
      <c r="B915" t="s">
        <v>1897</v>
      </c>
      <c r="C915" t="str">
        <f t="shared" si="22"/>
        <v>Patricia Richardson</v>
      </c>
      <c r="D915" t="s">
        <v>13</v>
      </c>
      <c r="E915">
        <v>50</v>
      </c>
      <c r="F915" t="s">
        <v>148</v>
      </c>
      <c r="G915" t="s">
        <v>149</v>
      </c>
      <c r="H915" t="s">
        <v>22</v>
      </c>
      <c r="I915">
        <v>8</v>
      </c>
      <c r="J915" t="s">
        <v>94</v>
      </c>
      <c r="K915">
        <v>3.7</v>
      </c>
      <c r="L915" t="s">
        <v>70</v>
      </c>
      <c r="M915" s="1">
        <v>0.82</v>
      </c>
    </row>
    <row r="916" spans="1:13" x14ac:dyDescent="0.3">
      <c r="A916" t="s">
        <v>1898</v>
      </c>
      <c r="B916" t="s">
        <v>1899</v>
      </c>
      <c r="C916" t="str">
        <f t="shared" si="22"/>
        <v>Carolyn Lopez</v>
      </c>
      <c r="D916" t="s">
        <v>37</v>
      </c>
      <c r="E916">
        <v>59</v>
      </c>
      <c r="F916" t="s">
        <v>108</v>
      </c>
      <c r="G916" t="s">
        <v>109</v>
      </c>
      <c r="H916" t="s">
        <v>110</v>
      </c>
      <c r="I916">
        <v>22</v>
      </c>
      <c r="J916" t="s">
        <v>23</v>
      </c>
      <c r="K916">
        <v>1.1000000000000001</v>
      </c>
      <c r="L916" t="s">
        <v>154</v>
      </c>
      <c r="M916" s="1">
        <v>0.85</v>
      </c>
    </row>
    <row r="917" spans="1:13" x14ac:dyDescent="0.3">
      <c r="A917" t="s">
        <v>1900</v>
      </c>
      <c r="B917" t="s">
        <v>1901</v>
      </c>
      <c r="C917" t="str">
        <f t="shared" si="22"/>
        <v>Kyle Burns</v>
      </c>
      <c r="D917" t="s">
        <v>88</v>
      </c>
      <c r="E917">
        <v>33</v>
      </c>
      <c r="F917" t="s">
        <v>59</v>
      </c>
      <c r="G917" t="s">
        <v>60</v>
      </c>
      <c r="H917" t="s">
        <v>48</v>
      </c>
      <c r="I917">
        <v>8</v>
      </c>
      <c r="J917" t="s">
        <v>49</v>
      </c>
      <c r="K917">
        <v>2.2999999999999998</v>
      </c>
      <c r="L917" t="b">
        <v>1</v>
      </c>
      <c r="M917" s="1">
        <v>0.68</v>
      </c>
    </row>
    <row r="918" spans="1:13" x14ac:dyDescent="0.3">
      <c r="A918" t="s">
        <v>1902</v>
      </c>
      <c r="B918" t="s">
        <v>1903</v>
      </c>
      <c r="C918" t="str">
        <f t="shared" si="22"/>
        <v>Margaret Garcia</v>
      </c>
      <c r="D918" t="s">
        <v>13</v>
      </c>
      <c r="E918">
        <v>45</v>
      </c>
      <c r="F918" t="s">
        <v>123</v>
      </c>
      <c r="G918" t="s">
        <v>21</v>
      </c>
      <c r="H918" t="s">
        <v>34</v>
      </c>
      <c r="I918">
        <v>22</v>
      </c>
      <c r="J918">
        <v>40</v>
      </c>
      <c r="K918">
        <v>3.7</v>
      </c>
      <c r="L918" t="s">
        <v>70</v>
      </c>
      <c r="M918" s="1">
        <v>0.99</v>
      </c>
    </row>
    <row r="919" spans="1:13" x14ac:dyDescent="0.3">
      <c r="A919" t="s">
        <v>1904</v>
      </c>
      <c r="B919" t="s">
        <v>1905</v>
      </c>
      <c r="C919" t="str">
        <f t="shared" si="22"/>
        <v>Brittany Barker</v>
      </c>
      <c r="D919" t="s">
        <v>37</v>
      </c>
      <c r="E919">
        <v>36</v>
      </c>
      <c r="F919" t="s">
        <v>14</v>
      </c>
      <c r="G919" t="s">
        <v>15</v>
      </c>
      <c r="H919" t="s">
        <v>29</v>
      </c>
      <c r="I919">
        <v>14</v>
      </c>
      <c r="J919">
        <v>30</v>
      </c>
      <c r="K919">
        <v>1.9</v>
      </c>
      <c r="L919">
        <v>0</v>
      </c>
      <c r="M919" s="1">
        <v>0.62</v>
      </c>
    </row>
    <row r="920" spans="1:13" x14ac:dyDescent="0.3">
      <c r="A920" t="s">
        <v>1906</v>
      </c>
      <c r="B920" t="s">
        <v>1907</v>
      </c>
      <c r="C920" t="str">
        <f t="shared" si="22"/>
        <v>Paul Campbell</v>
      </c>
      <c r="D920" t="s">
        <v>26</v>
      </c>
      <c r="E920">
        <v>46</v>
      </c>
      <c r="F920" t="s">
        <v>148</v>
      </c>
      <c r="G920" t="s">
        <v>149</v>
      </c>
      <c r="H920" t="s">
        <v>69</v>
      </c>
      <c r="I920">
        <v>6</v>
      </c>
      <c r="J920">
        <v>30</v>
      </c>
      <c r="K920">
        <v>1.5</v>
      </c>
      <c r="L920" t="s">
        <v>30</v>
      </c>
    </row>
    <row r="921" spans="1:13" x14ac:dyDescent="0.3">
      <c r="A921" t="s">
        <v>1908</v>
      </c>
      <c r="B921" t="s">
        <v>1909</v>
      </c>
      <c r="C921" t="str">
        <f t="shared" si="22"/>
        <v>Amy Morrow</v>
      </c>
      <c r="D921" t="s">
        <v>37</v>
      </c>
      <c r="E921">
        <v>53</v>
      </c>
      <c r="F921" t="s">
        <v>59</v>
      </c>
      <c r="G921" t="s">
        <v>60</v>
      </c>
      <c r="H921" t="s">
        <v>29</v>
      </c>
      <c r="I921">
        <v>14</v>
      </c>
      <c r="J921">
        <v>30</v>
      </c>
      <c r="K921">
        <v>0</v>
      </c>
      <c r="L921" t="b">
        <v>0</v>
      </c>
      <c r="M921" s="1">
        <v>0.83</v>
      </c>
    </row>
    <row r="922" spans="1:13" x14ac:dyDescent="0.3">
      <c r="A922" t="s">
        <v>1910</v>
      </c>
      <c r="B922" t="s">
        <v>1911</v>
      </c>
      <c r="C922" t="str">
        <f t="shared" si="22"/>
        <v>Amy Fitzgerald</v>
      </c>
      <c r="D922" t="s">
        <v>13</v>
      </c>
      <c r="E922">
        <v>24</v>
      </c>
      <c r="F922" t="s">
        <v>55</v>
      </c>
      <c r="G922" t="s">
        <v>21</v>
      </c>
      <c r="H922" t="s">
        <v>34</v>
      </c>
      <c r="I922">
        <v>2</v>
      </c>
      <c r="J922">
        <v>30</v>
      </c>
      <c r="K922">
        <v>3.6</v>
      </c>
      <c r="M922" s="1">
        <v>0.92</v>
      </c>
    </row>
    <row r="923" spans="1:13" x14ac:dyDescent="0.3">
      <c r="A923" t="s">
        <v>1912</v>
      </c>
      <c r="B923" t="s">
        <v>1913</v>
      </c>
      <c r="C923" t="str">
        <f t="shared" si="22"/>
        <v>Anita Becker</v>
      </c>
      <c r="D923" t="s">
        <v>37</v>
      </c>
      <c r="E923">
        <v>49</v>
      </c>
      <c r="F923" t="s">
        <v>184</v>
      </c>
      <c r="G923" t="s">
        <v>68</v>
      </c>
      <c r="H923" t="s">
        <v>85</v>
      </c>
      <c r="I923">
        <v>4</v>
      </c>
      <c r="J923" s="2">
        <v>75</v>
      </c>
      <c r="K923">
        <v>2.1</v>
      </c>
      <c r="M923" s="1">
        <v>0.85</v>
      </c>
    </row>
    <row r="924" spans="1:13" x14ac:dyDescent="0.3">
      <c r="A924" t="s">
        <v>1914</v>
      </c>
      <c r="B924" t="s">
        <v>1915</v>
      </c>
      <c r="C924" t="str">
        <f>RIGHT(B924, LEN(B924) - FIND(". ", B924))</f>
        <v xml:space="preserve"> Amy Brooks</v>
      </c>
      <c r="D924" t="s">
        <v>33</v>
      </c>
      <c r="E924">
        <v>49</v>
      </c>
      <c r="F924" t="s">
        <v>108</v>
      </c>
      <c r="G924" t="s">
        <v>109</v>
      </c>
      <c r="H924" t="s">
        <v>42</v>
      </c>
      <c r="I924">
        <v>4</v>
      </c>
      <c r="J924">
        <v>75</v>
      </c>
      <c r="K924">
        <v>2.9</v>
      </c>
      <c r="L924" t="s">
        <v>30</v>
      </c>
    </row>
    <row r="925" spans="1:13" x14ac:dyDescent="0.3">
      <c r="A925" t="s">
        <v>1916</v>
      </c>
      <c r="B925" t="s">
        <v>1917</v>
      </c>
      <c r="C925" t="str">
        <f t="shared" ref="C925:C964" si="23">B925</f>
        <v>Lori Marshall</v>
      </c>
      <c r="D925" t="s">
        <v>19</v>
      </c>
      <c r="E925">
        <v>49</v>
      </c>
      <c r="F925" t="s">
        <v>108</v>
      </c>
      <c r="G925" t="s">
        <v>109</v>
      </c>
      <c r="H925" t="s">
        <v>22</v>
      </c>
      <c r="I925">
        <v>24</v>
      </c>
      <c r="J925">
        <v>100</v>
      </c>
      <c r="K925">
        <v>3.6</v>
      </c>
      <c r="L925" t="b">
        <v>1</v>
      </c>
    </row>
    <row r="926" spans="1:13" x14ac:dyDescent="0.3">
      <c r="A926" t="s">
        <v>1918</v>
      </c>
      <c r="B926" t="s">
        <v>1919</v>
      </c>
      <c r="C926" t="str">
        <f t="shared" si="23"/>
        <v>Jennifer Miller</v>
      </c>
      <c r="D926" t="s">
        <v>73</v>
      </c>
      <c r="E926">
        <v>58</v>
      </c>
      <c r="F926" t="s">
        <v>103</v>
      </c>
      <c r="G926" t="s">
        <v>104</v>
      </c>
      <c r="H926" t="s">
        <v>16</v>
      </c>
      <c r="I926">
        <v>29</v>
      </c>
      <c r="J926">
        <v>30</v>
      </c>
      <c r="K926">
        <v>3.3</v>
      </c>
      <c r="L926" t="s">
        <v>64</v>
      </c>
      <c r="M926" s="1">
        <v>0.89</v>
      </c>
    </row>
    <row r="927" spans="1:13" x14ac:dyDescent="0.3">
      <c r="A927" t="s">
        <v>1920</v>
      </c>
      <c r="B927" t="s">
        <v>1921</v>
      </c>
      <c r="C927" t="str">
        <f t="shared" si="23"/>
        <v>Thomas Young</v>
      </c>
      <c r="D927" t="s">
        <v>58</v>
      </c>
      <c r="E927">
        <v>50</v>
      </c>
      <c r="F927" t="s">
        <v>148</v>
      </c>
      <c r="G927" t="s">
        <v>149</v>
      </c>
      <c r="H927" t="s">
        <v>69</v>
      </c>
      <c r="I927">
        <v>13</v>
      </c>
      <c r="K927">
        <v>2.5</v>
      </c>
      <c r="L927" t="s">
        <v>70</v>
      </c>
      <c r="M927" s="1">
        <v>0.81</v>
      </c>
    </row>
    <row r="928" spans="1:13" x14ac:dyDescent="0.3">
      <c r="A928" t="s">
        <v>1922</v>
      </c>
      <c r="B928" t="s">
        <v>1923</v>
      </c>
      <c r="C928" t="str">
        <f t="shared" si="23"/>
        <v>Zachary Larsen</v>
      </c>
      <c r="D928" t="s">
        <v>88</v>
      </c>
      <c r="E928">
        <v>27</v>
      </c>
      <c r="F928" t="s">
        <v>148</v>
      </c>
      <c r="G928" t="s">
        <v>149</v>
      </c>
      <c r="H928" t="s">
        <v>85</v>
      </c>
      <c r="I928">
        <v>1</v>
      </c>
      <c r="J928" t="s">
        <v>23</v>
      </c>
      <c r="K928">
        <v>3.7</v>
      </c>
      <c r="L928" t="s">
        <v>70</v>
      </c>
      <c r="M928">
        <v>61</v>
      </c>
    </row>
    <row r="929" spans="1:13" x14ac:dyDescent="0.3">
      <c r="A929" t="s">
        <v>1924</v>
      </c>
      <c r="B929" t="s">
        <v>1925</v>
      </c>
      <c r="C929" t="str">
        <f t="shared" si="23"/>
        <v>Valerie Gutierrez</v>
      </c>
      <c r="D929" t="s">
        <v>33</v>
      </c>
      <c r="E929">
        <v>20</v>
      </c>
      <c r="F929" t="s">
        <v>108</v>
      </c>
      <c r="G929" t="s">
        <v>109</v>
      </c>
      <c r="H929" t="s">
        <v>110</v>
      </c>
      <c r="J929" s="2">
        <v>30</v>
      </c>
      <c r="K929">
        <v>4.5999999999999996</v>
      </c>
      <c r="L929">
        <v>1</v>
      </c>
    </row>
    <row r="930" spans="1:13" x14ac:dyDescent="0.3">
      <c r="A930" t="s">
        <v>1926</v>
      </c>
      <c r="B930" t="s">
        <v>1927</v>
      </c>
      <c r="C930" t="str">
        <f t="shared" si="23"/>
        <v>Daniel Parker</v>
      </c>
      <c r="D930" t="s">
        <v>58</v>
      </c>
      <c r="E930">
        <v>52</v>
      </c>
      <c r="F930" t="s">
        <v>119</v>
      </c>
      <c r="G930" t="s">
        <v>120</v>
      </c>
      <c r="H930" t="s">
        <v>16</v>
      </c>
      <c r="I930">
        <v>15</v>
      </c>
      <c r="J930" s="2">
        <v>40</v>
      </c>
      <c r="K930">
        <v>0</v>
      </c>
      <c r="L930">
        <v>1</v>
      </c>
      <c r="M930" s="1">
        <v>0.92</v>
      </c>
    </row>
    <row r="931" spans="1:13" x14ac:dyDescent="0.3">
      <c r="A931" t="s">
        <v>1928</v>
      </c>
      <c r="B931" t="s">
        <v>1929</v>
      </c>
      <c r="C931" t="str">
        <f t="shared" si="23"/>
        <v>Nicole Bennett</v>
      </c>
      <c r="D931" t="s">
        <v>73</v>
      </c>
      <c r="E931">
        <v>22</v>
      </c>
      <c r="F931" t="s">
        <v>130</v>
      </c>
      <c r="G931" t="s">
        <v>131</v>
      </c>
      <c r="H931" t="s">
        <v>110</v>
      </c>
      <c r="I931">
        <v>2</v>
      </c>
      <c r="J931">
        <v>30</v>
      </c>
      <c r="K931">
        <v>2</v>
      </c>
      <c r="L931" t="s">
        <v>154</v>
      </c>
      <c r="M931" s="1">
        <v>0.96</v>
      </c>
    </row>
    <row r="932" spans="1:13" x14ac:dyDescent="0.3">
      <c r="A932" t="s">
        <v>1930</v>
      </c>
      <c r="B932" t="s">
        <v>1931</v>
      </c>
      <c r="C932" t="str">
        <f t="shared" si="23"/>
        <v>Lauren Lowery</v>
      </c>
      <c r="D932" t="s">
        <v>73</v>
      </c>
      <c r="E932">
        <v>38</v>
      </c>
      <c r="F932" t="s">
        <v>59</v>
      </c>
      <c r="G932" t="s">
        <v>60</v>
      </c>
      <c r="H932" t="s">
        <v>34</v>
      </c>
      <c r="I932">
        <v>14</v>
      </c>
      <c r="J932">
        <v>100</v>
      </c>
      <c r="K932">
        <v>1.7</v>
      </c>
      <c r="L932" t="b">
        <v>0</v>
      </c>
      <c r="M932" s="1">
        <v>0.66</v>
      </c>
    </row>
    <row r="933" spans="1:13" x14ac:dyDescent="0.3">
      <c r="A933" t="s">
        <v>1932</v>
      </c>
      <c r="B933" t="s">
        <v>1933</v>
      </c>
      <c r="C933" t="str">
        <f t="shared" si="23"/>
        <v>Alexander Woodward</v>
      </c>
      <c r="D933" t="s">
        <v>26</v>
      </c>
      <c r="E933">
        <v>21</v>
      </c>
      <c r="F933" t="s">
        <v>123</v>
      </c>
      <c r="G933" t="s">
        <v>21</v>
      </c>
      <c r="H933" t="s">
        <v>29</v>
      </c>
      <c r="I933">
        <v>0</v>
      </c>
      <c r="J933" t="s">
        <v>23</v>
      </c>
      <c r="K933">
        <v>3</v>
      </c>
      <c r="L933" t="s">
        <v>30</v>
      </c>
      <c r="M933" s="1">
        <v>0.64</v>
      </c>
    </row>
    <row r="934" spans="1:13" x14ac:dyDescent="0.3">
      <c r="A934" t="s">
        <v>1934</v>
      </c>
      <c r="B934" t="s">
        <v>1935</v>
      </c>
      <c r="C934" t="str">
        <f t="shared" si="23"/>
        <v>Anthony Walter</v>
      </c>
      <c r="D934" t="s">
        <v>58</v>
      </c>
      <c r="E934">
        <v>41</v>
      </c>
      <c r="F934" t="s">
        <v>20</v>
      </c>
      <c r="G934" t="s">
        <v>21</v>
      </c>
      <c r="H934" t="s">
        <v>42</v>
      </c>
      <c r="I934">
        <v>15</v>
      </c>
      <c r="J934">
        <v>40</v>
      </c>
      <c r="K934">
        <v>3.4</v>
      </c>
      <c r="L934" t="b">
        <v>0</v>
      </c>
      <c r="M934" s="1">
        <v>1</v>
      </c>
    </row>
    <row r="935" spans="1:13" x14ac:dyDescent="0.3">
      <c r="A935" t="s">
        <v>1936</v>
      </c>
      <c r="B935" t="s">
        <v>1937</v>
      </c>
      <c r="C935" t="str">
        <f t="shared" si="23"/>
        <v>Valerie Finley</v>
      </c>
      <c r="D935" t="s">
        <v>37</v>
      </c>
      <c r="E935">
        <v>33</v>
      </c>
      <c r="F935" t="s">
        <v>46</v>
      </c>
      <c r="G935" t="s">
        <v>47</v>
      </c>
      <c r="H935" t="s">
        <v>16</v>
      </c>
      <c r="I935">
        <v>6</v>
      </c>
      <c r="J935">
        <v>40</v>
      </c>
      <c r="K935">
        <v>3.2</v>
      </c>
      <c r="L935">
        <v>1</v>
      </c>
      <c r="M935" s="1">
        <v>0.95</v>
      </c>
    </row>
    <row r="936" spans="1:13" x14ac:dyDescent="0.3">
      <c r="A936" t="s">
        <v>1938</v>
      </c>
      <c r="B936" t="s">
        <v>1939</v>
      </c>
      <c r="C936" t="str">
        <f t="shared" si="23"/>
        <v>Deborah Kelley</v>
      </c>
      <c r="D936" t="s">
        <v>13</v>
      </c>
      <c r="E936">
        <v>38</v>
      </c>
      <c r="F936" t="s">
        <v>173</v>
      </c>
      <c r="G936" t="s">
        <v>68</v>
      </c>
      <c r="H936" t="s">
        <v>22</v>
      </c>
      <c r="I936">
        <v>11</v>
      </c>
      <c r="K936">
        <v>2.8</v>
      </c>
      <c r="M936">
        <v>91</v>
      </c>
    </row>
    <row r="937" spans="1:13" x14ac:dyDescent="0.3">
      <c r="A937" t="s">
        <v>1940</v>
      </c>
      <c r="B937" t="s">
        <v>1941</v>
      </c>
      <c r="C937" t="str">
        <f t="shared" si="23"/>
        <v>Kristina Miller</v>
      </c>
      <c r="D937" t="s">
        <v>33</v>
      </c>
      <c r="E937">
        <v>26</v>
      </c>
      <c r="F937" t="s">
        <v>119</v>
      </c>
      <c r="G937" t="s">
        <v>120</v>
      </c>
      <c r="H937" t="s">
        <v>85</v>
      </c>
      <c r="I937">
        <v>8</v>
      </c>
      <c r="J937" t="s">
        <v>307</v>
      </c>
      <c r="K937">
        <v>4.0999999999999996</v>
      </c>
      <c r="L937" t="s">
        <v>64</v>
      </c>
      <c r="M937" s="1">
        <v>0.82</v>
      </c>
    </row>
    <row r="938" spans="1:13" x14ac:dyDescent="0.3">
      <c r="A938" t="s">
        <v>1942</v>
      </c>
      <c r="B938" t="s">
        <v>1943</v>
      </c>
      <c r="C938" t="str">
        <f t="shared" si="23"/>
        <v>Anne Hampton</v>
      </c>
      <c r="D938" t="s">
        <v>13</v>
      </c>
      <c r="E938">
        <v>43</v>
      </c>
      <c r="F938" t="s">
        <v>40</v>
      </c>
      <c r="G938" t="s">
        <v>41</v>
      </c>
      <c r="H938" t="s">
        <v>42</v>
      </c>
      <c r="I938">
        <v>3</v>
      </c>
      <c r="J938">
        <v>20</v>
      </c>
      <c r="K938">
        <v>0</v>
      </c>
      <c r="L938" t="s">
        <v>70</v>
      </c>
      <c r="M938" s="1">
        <v>0.95</v>
      </c>
    </row>
    <row r="939" spans="1:13" x14ac:dyDescent="0.3">
      <c r="A939" t="s">
        <v>1944</v>
      </c>
      <c r="B939" t="s">
        <v>1945</v>
      </c>
      <c r="C939" t="str">
        <f t="shared" si="23"/>
        <v>Sandra Henry</v>
      </c>
      <c r="D939" t="s">
        <v>73</v>
      </c>
      <c r="E939">
        <v>21</v>
      </c>
      <c r="F939" t="s">
        <v>14</v>
      </c>
      <c r="G939" t="s">
        <v>15</v>
      </c>
      <c r="H939" t="s">
        <v>74</v>
      </c>
      <c r="I939">
        <v>0</v>
      </c>
      <c r="K939">
        <v>0</v>
      </c>
      <c r="L939">
        <v>1</v>
      </c>
      <c r="M939" s="1">
        <v>0.95</v>
      </c>
    </row>
    <row r="940" spans="1:13" x14ac:dyDescent="0.3">
      <c r="A940" t="s">
        <v>1946</v>
      </c>
      <c r="B940" t="s">
        <v>1947</v>
      </c>
      <c r="C940" t="str">
        <f t="shared" si="23"/>
        <v>Tony Hester</v>
      </c>
      <c r="D940" t="s">
        <v>58</v>
      </c>
      <c r="E940">
        <v>47</v>
      </c>
      <c r="F940" t="s">
        <v>108</v>
      </c>
      <c r="G940" t="s">
        <v>109</v>
      </c>
      <c r="H940" t="s">
        <v>22</v>
      </c>
      <c r="I940">
        <v>7</v>
      </c>
      <c r="J940" t="s">
        <v>105</v>
      </c>
      <c r="M940">
        <v>69</v>
      </c>
    </row>
    <row r="941" spans="1:13" x14ac:dyDescent="0.3">
      <c r="A941" t="s">
        <v>1948</v>
      </c>
      <c r="B941" t="s">
        <v>1949</v>
      </c>
      <c r="C941" t="str">
        <f t="shared" si="23"/>
        <v>Nathan Davis</v>
      </c>
      <c r="D941" t="s">
        <v>58</v>
      </c>
      <c r="E941">
        <v>35</v>
      </c>
      <c r="F941" t="s">
        <v>184</v>
      </c>
      <c r="G941" t="s">
        <v>68</v>
      </c>
      <c r="H941" t="s">
        <v>29</v>
      </c>
      <c r="I941">
        <v>6</v>
      </c>
      <c r="J941">
        <v>40</v>
      </c>
      <c r="L941" t="s">
        <v>64</v>
      </c>
      <c r="M941" s="1">
        <v>0.91</v>
      </c>
    </row>
    <row r="942" spans="1:13" x14ac:dyDescent="0.3">
      <c r="A942" t="s">
        <v>1950</v>
      </c>
      <c r="B942" t="s">
        <v>1951</v>
      </c>
      <c r="C942" t="str">
        <f t="shared" si="23"/>
        <v>Erica Jackson</v>
      </c>
      <c r="D942" t="s">
        <v>73</v>
      </c>
      <c r="E942">
        <v>37</v>
      </c>
      <c r="F942" t="s">
        <v>46</v>
      </c>
      <c r="G942" t="s">
        <v>47</v>
      </c>
      <c r="H942" t="s">
        <v>22</v>
      </c>
      <c r="I942">
        <v>9</v>
      </c>
      <c r="J942" s="2">
        <v>30</v>
      </c>
      <c r="K942">
        <v>2.7</v>
      </c>
      <c r="L942">
        <v>1</v>
      </c>
    </row>
    <row r="943" spans="1:13" x14ac:dyDescent="0.3">
      <c r="A943" t="s">
        <v>1952</v>
      </c>
      <c r="B943" t="s">
        <v>1953</v>
      </c>
      <c r="C943" t="str">
        <f t="shared" si="23"/>
        <v>Nancy Glover</v>
      </c>
      <c r="D943" t="s">
        <v>19</v>
      </c>
      <c r="E943">
        <v>38</v>
      </c>
      <c r="F943" t="s">
        <v>103</v>
      </c>
      <c r="G943" t="s">
        <v>104</v>
      </c>
      <c r="H943" t="s">
        <v>42</v>
      </c>
      <c r="I943">
        <v>15</v>
      </c>
      <c r="J943">
        <v>40</v>
      </c>
      <c r="K943">
        <v>4</v>
      </c>
      <c r="M943" s="1">
        <v>0.62</v>
      </c>
    </row>
    <row r="944" spans="1:13" x14ac:dyDescent="0.3">
      <c r="A944" t="s">
        <v>1954</v>
      </c>
      <c r="B944" t="s">
        <v>1955</v>
      </c>
      <c r="C944" t="str">
        <f t="shared" si="23"/>
        <v>Richard Sanchez</v>
      </c>
      <c r="D944" t="s">
        <v>58</v>
      </c>
      <c r="E944">
        <v>40</v>
      </c>
      <c r="F944" t="s">
        <v>123</v>
      </c>
      <c r="G944" t="s">
        <v>21</v>
      </c>
      <c r="H944" t="s">
        <v>48</v>
      </c>
      <c r="I944">
        <v>20</v>
      </c>
      <c r="J944">
        <v>20</v>
      </c>
      <c r="K944">
        <v>2.5</v>
      </c>
      <c r="L944">
        <v>0</v>
      </c>
      <c r="M944" s="1">
        <v>0.81</v>
      </c>
    </row>
    <row r="945" spans="1:13" x14ac:dyDescent="0.3">
      <c r="A945" t="s">
        <v>1956</v>
      </c>
      <c r="B945" t="s">
        <v>1957</v>
      </c>
      <c r="C945" t="str">
        <f t="shared" si="23"/>
        <v>Savannah Reid</v>
      </c>
      <c r="D945" t="s">
        <v>13</v>
      </c>
      <c r="E945">
        <v>46</v>
      </c>
      <c r="F945" t="s">
        <v>103</v>
      </c>
      <c r="G945" t="s">
        <v>104</v>
      </c>
      <c r="H945" t="s">
        <v>48</v>
      </c>
      <c r="I945">
        <v>16</v>
      </c>
      <c r="J945">
        <v>75</v>
      </c>
      <c r="K945">
        <v>0</v>
      </c>
      <c r="L945" t="s">
        <v>154</v>
      </c>
      <c r="M945" s="1">
        <v>0.94</v>
      </c>
    </row>
    <row r="946" spans="1:13" x14ac:dyDescent="0.3">
      <c r="A946" t="s">
        <v>1958</v>
      </c>
      <c r="B946" t="s">
        <v>1959</v>
      </c>
      <c r="C946" t="str">
        <f t="shared" si="23"/>
        <v>Robert Salazar</v>
      </c>
      <c r="D946" t="s">
        <v>45</v>
      </c>
      <c r="E946">
        <v>56</v>
      </c>
      <c r="F946" t="s">
        <v>134</v>
      </c>
      <c r="G946" t="s">
        <v>135</v>
      </c>
      <c r="H946" t="s">
        <v>85</v>
      </c>
      <c r="I946">
        <v>22</v>
      </c>
      <c r="J946" t="s">
        <v>105</v>
      </c>
      <c r="L946" t="s">
        <v>154</v>
      </c>
      <c r="M946" s="1">
        <v>0.95</v>
      </c>
    </row>
    <row r="947" spans="1:13" x14ac:dyDescent="0.3">
      <c r="A947" t="s">
        <v>1960</v>
      </c>
      <c r="B947" t="s">
        <v>1961</v>
      </c>
      <c r="C947" t="str">
        <f t="shared" si="23"/>
        <v>Hector Greer</v>
      </c>
      <c r="D947" t="s">
        <v>45</v>
      </c>
      <c r="E947">
        <v>24</v>
      </c>
      <c r="F947" t="s">
        <v>59</v>
      </c>
      <c r="G947" t="s">
        <v>60</v>
      </c>
      <c r="H947" t="s">
        <v>29</v>
      </c>
      <c r="I947">
        <v>2</v>
      </c>
      <c r="K947">
        <v>1.6</v>
      </c>
      <c r="L947" t="s">
        <v>154</v>
      </c>
      <c r="M947" s="1">
        <v>1</v>
      </c>
    </row>
    <row r="948" spans="1:13" x14ac:dyDescent="0.3">
      <c r="A948" t="s">
        <v>1962</v>
      </c>
      <c r="B948" t="s">
        <v>1963</v>
      </c>
      <c r="C948" t="str">
        <f t="shared" si="23"/>
        <v>Thomas Jackson</v>
      </c>
      <c r="D948" t="s">
        <v>88</v>
      </c>
      <c r="F948" t="s">
        <v>173</v>
      </c>
      <c r="G948" t="s">
        <v>68</v>
      </c>
      <c r="H948" t="s">
        <v>42</v>
      </c>
      <c r="I948">
        <v>1</v>
      </c>
      <c r="J948">
        <v>75</v>
      </c>
      <c r="K948">
        <v>0</v>
      </c>
      <c r="L948" t="b">
        <v>1</v>
      </c>
      <c r="M948" s="1">
        <v>0.94</v>
      </c>
    </row>
    <row r="949" spans="1:13" x14ac:dyDescent="0.3">
      <c r="A949" t="s">
        <v>1964</v>
      </c>
      <c r="B949" t="s">
        <v>1965</v>
      </c>
      <c r="C949" t="str">
        <f t="shared" si="23"/>
        <v>Tina Clark</v>
      </c>
      <c r="D949" t="s">
        <v>33</v>
      </c>
      <c r="E949">
        <v>38</v>
      </c>
      <c r="F949" t="s">
        <v>59</v>
      </c>
      <c r="G949" t="s">
        <v>60</v>
      </c>
      <c r="H949" t="s">
        <v>22</v>
      </c>
      <c r="I949">
        <v>8</v>
      </c>
      <c r="J949">
        <v>30</v>
      </c>
      <c r="K949">
        <v>4</v>
      </c>
      <c r="L949">
        <v>1</v>
      </c>
      <c r="M949" s="1">
        <v>0.92</v>
      </c>
    </row>
    <row r="950" spans="1:13" x14ac:dyDescent="0.3">
      <c r="A950" t="s">
        <v>1966</v>
      </c>
      <c r="B950" t="s">
        <v>1967</v>
      </c>
      <c r="C950" t="str">
        <f t="shared" si="23"/>
        <v>Heather Brown</v>
      </c>
      <c r="D950" t="s">
        <v>73</v>
      </c>
      <c r="E950">
        <v>28</v>
      </c>
      <c r="F950" t="s">
        <v>130</v>
      </c>
      <c r="G950" t="s">
        <v>131</v>
      </c>
      <c r="H950" t="s">
        <v>85</v>
      </c>
      <c r="I950">
        <v>8</v>
      </c>
      <c r="J950" t="s">
        <v>94</v>
      </c>
      <c r="K950">
        <v>2.5</v>
      </c>
      <c r="L950" t="b">
        <v>1</v>
      </c>
      <c r="M950" s="1">
        <v>0.95</v>
      </c>
    </row>
    <row r="951" spans="1:13" x14ac:dyDescent="0.3">
      <c r="A951" t="s">
        <v>1968</v>
      </c>
      <c r="B951" t="s">
        <v>1969</v>
      </c>
      <c r="C951" t="str">
        <f t="shared" si="23"/>
        <v>John Weaver</v>
      </c>
      <c r="D951" t="s">
        <v>45</v>
      </c>
      <c r="E951">
        <v>25</v>
      </c>
      <c r="F951" t="s">
        <v>103</v>
      </c>
      <c r="G951" t="s">
        <v>104</v>
      </c>
      <c r="H951" t="s">
        <v>85</v>
      </c>
      <c r="I951">
        <v>7</v>
      </c>
      <c r="J951" s="2">
        <v>20</v>
      </c>
      <c r="K951">
        <v>3.8</v>
      </c>
      <c r="M951" s="1">
        <v>0.97</v>
      </c>
    </row>
    <row r="952" spans="1:13" x14ac:dyDescent="0.3">
      <c r="A952" t="s">
        <v>1970</v>
      </c>
      <c r="B952" t="s">
        <v>1971</v>
      </c>
      <c r="C952" t="str">
        <f t="shared" si="23"/>
        <v>Bradley Harris</v>
      </c>
      <c r="D952" t="s">
        <v>93</v>
      </c>
      <c r="E952">
        <v>41</v>
      </c>
      <c r="F952" t="s">
        <v>63</v>
      </c>
      <c r="G952" t="s">
        <v>21</v>
      </c>
      <c r="H952" t="s">
        <v>85</v>
      </c>
      <c r="I952">
        <v>8</v>
      </c>
      <c r="J952">
        <v>50</v>
      </c>
      <c r="K952">
        <v>4.8</v>
      </c>
      <c r="L952" t="s">
        <v>30</v>
      </c>
      <c r="M952" s="1">
        <v>0.75</v>
      </c>
    </row>
    <row r="953" spans="1:13" x14ac:dyDescent="0.3">
      <c r="A953" t="s">
        <v>1972</v>
      </c>
      <c r="B953" t="s">
        <v>1973</v>
      </c>
      <c r="C953" t="str">
        <f t="shared" si="23"/>
        <v>Cassandra Macdonald</v>
      </c>
      <c r="D953" t="s">
        <v>13</v>
      </c>
      <c r="E953">
        <v>45</v>
      </c>
      <c r="F953" t="s">
        <v>173</v>
      </c>
      <c r="G953" t="s">
        <v>68</v>
      </c>
      <c r="H953" t="s">
        <v>48</v>
      </c>
      <c r="I953">
        <v>6</v>
      </c>
      <c r="J953">
        <v>40</v>
      </c>
      <c r="K953">
        <v>2</v>
      </c>
      <c r="L953">
        <v>1</v>
      </c>
      <c r="M953" s="1">
        <v>0.78</v>
      </c>
    </row>
    <row r="954" spans="1:13" x14ac:dyDescent="0.3">
      <c r="A954" t="s">
        <v>1974</v>
      </c>
      <c r="B954" t="s">
        <v>1975</v>
      </c>
      <c r="C954" t="str">
        <f t="shared" si="23"/>
        <v>Matthew White</v>
      </c>
      <c r="D954" t="s">
        <v>45</v>
      </c>
      <c r="E954">
        <v>47</v>
      </c>
      <c r="F954" t="s">
        <v>59</v>
      </c>
      <c r="G954" t="s">
        <v>60</v>
      </c>
      <c r="H954" t="s">
        <v>85</v>
      </c>
      <c r="I954">
        <v>16</v>
      </c>
      <c r="J954" s="2">
        <v>100</v>
      </c>
      <c r="K954">
        <v>3.3</v>
      </c>
      <c r="L954">
        <v>0</v>
      </c>
      <c r="M954" s="1">
        <v>0.65</v>
      </c>
    </row>
    <row r="955" spans="1:13" x14ac:dyDescent="0.3">
      <c r="A955" t="s">
        <v>1976</v>
      </c>
      <c r="B955" t="s">
        <v>1977</v>
      </c>
      <c r="C955" t="str">
        <f t="shared" si="23"/>
        <v>Miss Kimberly Marshall</v>
      </c>
      <c r="D955" t="s">
        <v>33</v>
      </c>
      <c r="E955">
        <v>59</v>
      </c>
      <c r="F955" t="s">
        <v>63</v>
      </c>
      <c r="G955" t="s">
        <v>21</v>
      </c>
      <c r="H955" t="s">
        <v>48</v>
      </c>
      <c r="I955">
        <v>40</v>
      </c>
      <c r="J955">
        <v>40</v>
      </c>
      <c r="K955">
        <v>2.5</v>
      </c>
      <c r="L955" t="b">
        <v>1</v>
      </c>
      <c r="M955">
        <v>70</v>
      </c>
    </row>
    <row r="956" spans="1:13" x14ac:dyDescent="0.3">
      <c r="A956" t="s">
        <v>1978</v>
      </c>
      <c r="B956" t="s">
        <v>1979</v>
      </c>
      <c r="C956" t="str">
        <f t="shared" si="23"/>
        <v>Laura Thompson</v>
      </c>
      <c r="D956" t="s">
        <v>73</v>
      </c>
      <c r="E956">
        <v>25</v>
      </c>
      <c r="F956" t="s">
        <v>123</v>
      </c>
      <c r="G956" t="s">
        <v>21</v>
      </c>
      <c r="H956" t="s">
        <v>16</v>
      </c>
      <c r="I956">
        <v>6</v>
      </c>
      <c r="J956" s="2">
        <v>100</v>
      </c>
      <c r="L956" t="s">
        <v>70</v>
      </c>
      <c r="M956">
        <v>78</v>
      </c>
    </row>
    <row r="957" spans="1:13" x14ac:dyDescent="0.3">
      <c r="A957" t="s">
        <v>1980</v>
      </c>
      <c r="B957" t="s">
        <v>1981</v>
      </c>
      <c r="C957" t="str">
        <f t="shared" si="23"/>
        <v>Nathan Soto</v>
      </c>
      <c r="D957" t="s">
        <v>93</v>
      </c>
      <c r="E957">
        <v>27</v>
      </c>
      <c r="F957" t="s">
        <v>20</v>
      </c>
      <c r="G957" t="s">
        <v>21</v>
      </c>
      <c r="H957" t="s">
        <v>34</v>
      </c>
      <c r="I957">
        <v>3</v>
      </c>
      <c r="J957" t="s">
        <v>94</v>
      </c>
      <c r="L957">
        <v>1</v>
      </c>
      <c r="M957" s="1">
        <v>0.96</v>
      </c>
    </row>
    <row r="958" spans="1:13" x14ac:dyDescent="0.3">
      <c r="A958" t="s">
        <v>1982</v>
      </c>
      <c r="B958" t="s">
        <v>1983</v>
      </c>
      <c r="C958" t="str">
        <f t="shared" si="23"/>
        <v>Rhonda Hines</v>
      </c>
      <c r="D958" t="s">
        <v>33</v>
      </c>
      <c r="E958">
        <v>57</v>
      </c>
      <c r="F958" t="s">
        <v>20</v>
      </c>
      <c r="G958" t="s">
        <v>21</v>
      </c>
      <c r="H958" t="s">
        <v>42</v>
      </c>
      <c r="I958">
        <v>5</v>
      </c>
      <c r="J958" t="s">
        <v>23</v>
      </c>
      <c r="K958">
        <v>0</v>
      </c>
      <c r="L958">
        <v>1</v>
      </c>
      <c r="M958" s="1">
        <v>0.8</v>
      </c>
    </row>
    <row r="959" spans="1:13" x14ac:dyDescent="0.3">
      <c r="A959" t="s">
        <v>1984</v>
      </c>
      <c r="B959" t="s">
        <v>1985</v>
      </c>
      <c r="C959" t="str">
        <f t="shared" si="23"/>
        <v>Gabrielle Bowman</v>
      </c>
      <c r="D959" t="s">
        <v>33</v>
      </c>
      <c r="E959">
        <v>34</v>
      </c>
      <c r="F959" t="s">
        <v>59</v>
      </c>
      <c r="G959" t="s">
        <v>60</v>
      </c>
      <c r="H959" t="s">
        <v>69</v>
      </c>
      <c r="I959">
        <v>12</v>
      </c>
      <c r="J959" s="2">
        <v>20</v>
      </c>
      <c r="K959">
        <v>1.6</v>
      </c>
      <c r="L959" t="s">
        <v>64</v>
      </c>
      <c r="M959" s="1">
        <v>0.64</v>
      </c>
    </row>
    <row r="960" spans="1:13" x14ac:dyDescent="0.3">
      <c r="A960" t="s">
        <v>1986</v>
      </c>
      <c r="B960" t="s">
        <v>1987</v>
      </c>
      <c r="C960" t="str">
        <f t="shared" si="23"/>
        <v>Julian Edwards</v>
      </c>
      <c r="D960" t="s">
        <v>88</v>
      </c>
      <c r="E960">
        <v>55</v>
      </c>
      <c r="F960" t="s">
        <v>130</v>
      </c>
      <c r="G960" t="s">
        <v>131</v>
      </c>
      <c r="H960" t="s">
        <v>69</v>
      </c>
      <c r="I960">
        <v>33</v>
      </c>
      <c r="J960">
        <v>50</v>
      </c>
      <c r="K960">
        <v>0</v>
      </c>
      <c r="L960" t="b">
        <v>0</v>
      </c>
      <c r="M960" s="1">
        <v>0.92</v>
      </c>
    </row>
    <row r="961" spans="1:13" x14ac:dyDescent="0.3">
      <c r="A961" t="s">
        <v>1988</v>
      </c>
      <c r="B961" t="s">
        <v>1989</v>
      </c>
      <c r="C961" t="str">
        <f t="shared" si="23"/>
        <v>Nicholas Scott</v>
      </c>
      <c r="D961" t="s">
        <v>26</v>
      </c>
      <c r="E961">
        <v>21</v>
      </c>
      <c r="F961" t="s">
        <v>134</v>
      </c>
      <c r="G961" t="s">
        <v>135</v>
      </c>
      <c r="H961" t="s">
        <v>16</v>
      </c>
      <c r="I961">
        <v>1</v>
      </c>
      <c r="J961">
        <v>100</v>
      </c>
      <c r="K961">
        <v>0</v>
      </c>
      <c r="L961">
        <v>1</v>
      </c>
    </row>
    <row r="962" spans="1:13" x14ac:dyDescent="0.3">
      <c r="A962" t="s">
        <v>1990</v>
      </c>
      <c r="B962" t="s">
        <v>1991</v>
      </c>
      <c r="C962" t="str">
        <f t="shared" si="23"/>
        <v>Daniel Green</v>
      </c>
      <c r="D962" t="s">
        <v>58</v>
      </c>
      <c r="E962">
        <v>53</v>
      </c>
      <c r="F962" t="s">
        <v>40</v>
      </c>
      <c r="G962" t="s">
        <v>41</v>
      </c>
      <c r="H962" t="s">
        <v>85</v>
      </c>
      <c r="I962">
        <v>27</v>
      </c>
      <c r="J962" t="s">
        <v>307</v>
      </c>
      <c r="K962">
        <v>4.7</v>
      </c>
      <c r="L962" t="s">
        <v>64</v>
      </c>
      <c r="M962">
        <v>71</v>
      </c>
    </row>
    <row r="963" spans="1:13" x14ac:dyDescent="0.3">
      <c r="A963" t="s">
        <v>1992</v>
      </c>
      <c r="B963" t="s">
        <v>1993</v>
      </c>
      <c r="C963" t="str">
        <f t="shared" si="23"/>
        <v>Catherine Johnston</v>
      </c>
      <c r="D963" t="s">
        <v>13</v>
      </c>
      <c r="E963">
        <v>21</v>
      </c>
      <c r="F963" t="s">
        <v>27</v>
      </c>
      <c r="G963" t="s">
        <v>28</v>
      </c>
      <c r="H963" t="s">
        <v>69</v>
      </c>
      <c r="I963">
        <v>1</v>
      </c>
      <c r="J963" s="2">
        <v>100</v>
      </c>
      <c r="K963">
        <v>0</v>
      </c>
      <c r="L963" t="s">
        <v>64</v>
      </c>
      <c r="M963" s="1">
        <v>0.95</v>
      </c>
    </row>
    <row r="964" spans="1:13" x14ac:dyDescent="0.3">
      <c r="A964" t="s">
        <v>1994</v>
      </c>
      <c r="B964" t="s">
        <v>1995</v>
      </c>
      <c r="C964" t="str">
        <f t="shared" si="23"/>
        <v>Brenda Koch</v>
      </c>
      <c r="D964" t="s">
        <v>19</v>
      </c>
      <c r="E964">
        <v>36</v>
      </c>
      <c r="F964" t="s">
        <v>103</v>
      </c>
      <c r="G964" t="s">
        <v>104</v>
      </c>
      <c r="H964" t="s">
        <v>34</v>
      </c>
      <c r="J964">
        <v>20</v>
      </c>
      <c r="K964">
        <v>4.0999999999999996</v>
      </c>
      <c r="L964" t="s">
        <v>30</v>
      </c>
      <c r="M964" s="1">
        <v>0.86</v>
      </c>
    </row>
    <row r="965" spans="1:13" x14ac:dyDescent="0.3">
      <c r="A965" t="s">
        <v>1996</v>
      </c>
      <c r="B965" t="s">
        <v>1997</v>
      </c>
      <c r="C965" t="str">
        <f>RIGHT(B965, LEN(B965) - FIND(". ", B965))</f>
        <v xml:space="preserve"> Robert Meza</v>
      </c>
      <c r="D965" t="s">
        <v>26</v>
      </c>
      <c r="E965">
        <v>40</v>
      </c>
      <c r="F965" t="s">
        <v>27</v>
      </c>
      <c r="G965" t="s">
        <v>28</v>
      </c>
      <c r="H965" t="s">
        <v>42</v>
      </c>
      <c r="I965">
        <v>2</v>
      </c>
      <c r="J965" s="2">
        <v>30</v>
      </c>
      <c r="K965">
        <v>1.3</v>
      </c>
      <c r="L965">
        <v>1</v>
      </c>
      <c r="M965" s="1">
        <v>0.77</v>
      </c>
    </row>
    <row r="966" spans="1:13" x14ac:dyDescent="0.3">
      <c r="A966" t="s">
        <v>1998</v>
      </c>
      <c r="B966" t="s">
        <v>1999</v>
      </c>
      <c r="C966" t="str">
        <f t="shared" ref="C966:C1001" si="24">B966</f>
        <v>Latoya Brown</v>
      </c>
      <c r="D966" t="s">
        <v>73</v>
      </c>
      <c r="E966">
        <v>59</v>
      </c>
      <c r="F966" t="s">
        <v>63</v>
      </c>
      <c r="G966" t="s">
        <v>21</v>
      </c>
      <c r="H966" t="s">
        <v>69</v>
      </c>
      <c r="I966">
        <v>40</v>
      </c>
      <c r="J966">
        <v>100</v>
      </c>
      <c r="K966">
        <v>2.6</v>
      </c>
    </row>
    <row r="967" spans="1:13" x14ac:dyDescent="0.3">
      <c r="A967" t="s">
        <v>2000</v>
      </c>
      <c r="B967" t="s">
        <v>2001</v>
      </c>
      <c r="C967" t="str">
        <f t="shared" si="24"/>
        <v>David Osborne III</v>
      </c>
      <c r="D967" t="s">
        <v>45</v>
      </c>
      <c r="E967">
        <v>45</v>
      </c>
      <c r="F967" t="s">
        <v>40</v>
      </c>
      <c r="G967" t="s">
        <v>41</v>
      </c>
      <c r="H967" t="s">
        <v>74</v>
      </c>
      <c r="I967">
        <v>4</v>
      </c>
      <c r="J967" s="2">
        <v>20</v>
      </c>
      <c r="K967">
        <v>2.7</v>
      </c>
      <c r="M967" s="1">
        <v>0.72</v>
      </c>
    </row>
    <row r="968" spans="1:13" x14ac:dyDescent="0.3">
      <c r="A968" t="s">
        <v>2002</v>
      </c>
      <c r="B968" t="s">
        <v>2003</v>
      </c>
      <c r="C968" t="str">
        <f t="shared" si="24"/>
        <v>David Hooper</v>
      </c>
      <c r="D968" t="s">
        <v>58</v>
      </c>
      <c r="E968">
        <v>44</v>
      </c>
      <c r="F968" t="s">
        <v>108</v>
      </c>
      <c r="G968" t="s">
        <v>109</v>
      </c>
      <c r="H968" t="s">
        <v>110</v>
      </c>
      <c r="I968">
        <v>9</v>
      </c>
      <c r="J968">
        <v>40</v>
      </c>
      <c r="L968">
        <v>0</v>
      </c>
      <c r="M968" s="1">
        <v>0.7</v>
      </c>
    </row>
    <row r="969" spans="1:13" x14ac:dyDescent="0.3">
      <c r="A969" t="s">
        <v>2004</v>
      </c>
      <c r="B969" t="s">
        <v>2005</v>
      </c>
      <c r="C969" t="str">
        <f t="shared" si="24"/>
        <v>Sarah Miller</v>
      </c>
      <c r="D969" t="s">
        <v>19</v>
      </c>
      <c r="E969">
        <v>36</v>
      </c>
      <c r="F969" t="s">
        <v>63</v>
      </c>
      <c r="G969" t="s">
        <v>21</v>
      </c>
      <c r="H969" t="s">
        <v>74</v>
      </c>
      <c r="I969">
        <v>13</v>
      </c>
      <c r="J969">
        <v>30</v>
      </c>
      <c r="K969">
        <v>3.6</v>
      </c>
      <c r="L969">
        <v>0</v>
      </c>
      <c r="M969" s="1">
        <v>0.86</v>
      </c>
    </row>
    <row r="970" spans="1:13" x14ac:dyDescent="0.3">
      <c r="A970" t="s">
        <v>2006</v>
      </c>
      <c r="B970" t="s">
        <v>2007</v>
      </c>
      <c r="C970" t="str">
        <f t="shared" si="24"/>
        <v>Lisa Werner MD</v>
      </c>
      <c r="D970" t="s">
        <v>73</v>
      </c>
      <c r="E970">
        <v>26</v>
      </c>
      <c r="F970" t="s">
        <v>89</v>
      </c>
      <c r="G970" t="s">
        <v>90</v>
      </c>
      <c r="H970" t="s">
        <v>29</v>
      </c>
      <c r="I970">
        <v>1</v>
      </c>
      <c r="J970">
        <v>75</v>
      </c>
      <c r="K970">
        <v>3</v>
      </c>
      <c r="L970">
        <v>1</v>
      </c>
    </row>
    <row r="971" spans="1:13" x14ac:dyDescent="0.3">
      <c r="A971" t="s">
        <v>2008</v>
      </c>
      <c r="B971" t="s">
        <v>2009</v>
      </c>
      <c r="C971" t="str">
        <f t="shared" si="24"/>
        <v>Eric Jimenez</v>
      </c>
      <c r="D971" t="s">
        <v>45</v>
      </c>
      <c r="E971">
        <v>49</v>
      </c>
      <c r="F971" t="s">
        <v>89</v>
      </c>
      <c r="G971" t="s">
        <v>90</v>
      </c>
      <c r="H971" t="s">
        <v>34</v>
      </c>
      <c r="I971">
        <v>1</v>
      </c>
      <c r="K971">
        <v>0</v>
      </c>
      <c r="L971">
        <v>0</v>
      </c>
      <c r="M971" s="1">
        <v>0.82</v>
      </c>
    </row>
    <row r="972" spans="1:13" x14ac:dyDescent="0.3">
      <c r="A972" t="s">
        <v>2010</v>
      </c>
      <c r="B972" t="s">
        <v>2011</v>
      </c>
      <c r="C972" t="str">
        <f t="shared" si="24"/>
        <v>Jay Bush</v>
      </c>
      <c r="D972" t="s">
        <v>45</v>
      </c>
      <c r="E972">
        <v>29</v>
      </c>
      <c r="F972" t="s">
        <v>130</v>
      </c>
      <c r="G972" t="s">
        <v>131</v>
      </c>
      <c r="H972" t="s">
        <v>22</v>
      </c>
      <c r="I972">
        <v>3</v>
      </c>
      <c r="J972" t="s">
        <v>52</v>
      </c>
      <c r="K972">
        <v>0</v>
      </c>
      <c r="L972" t="b">
        <v>1</v>
      </c>
      <c r="M972" s="1">
        <v>0.81</v>
      </c>
    </row>
    <row r="973" spans="1:13" x14ac:dyDescent="0.3">
      <c r="A973" t="s">
        <v>2012</v>
      </c>
      <c r="B973" t="s">
        <v>2013</v>
      </c>
      <c r="C973" t="str">
        <f t="shared" si="24"/>
        <v>Johnny Rice</v>
      </c>
      <c r="D973" t="s">
        <v>45</v>
      </c>
      <c r="E973">
        <v>32</v>
      </c>
      <c r="F973" t="s">
        <v>130</v>
      </c>
      <c r="G973" t="s">
        <v>131</v>
      </c>
      <c r="H973" t="s">
        <v>29</v>
      </c>
      <c r="I973">
        <v>1</v>
      </c>
      <c r="J973" s="2">
        <v>40</v>
      </c>
      <c r="K973">
        <v>3.1</v>
      </c>
      <c r="L973">
        <v>1</v>
      </c>
      <c r="M973" s="1">
        <v>0.76</v>
      </c>
    </row>
    <row r="974" spans="1:13" x14ac:dyDescent="0.3">
      <c r="A974" t="s">
        <v>2014</v>
      </c>
      <c r="B974" t="s">
        <v>2015</v>
      </c>
      <c r="C974" t="str">
        <f t="shared" si="24"/>
        <v>Matthew Strong</v>
      </c>
      <c r="D974" t="s">
        <v>58</v>
      </c>
      <c r="E974">
        <v>24</v>
      </c>
      <c r="F974" t="s">
        <v>46</v>
      </c>
      <c r="G974" t="s">
        <v>47</v>
      </c>
      <c r="H974" t="s">
        <v>16</v>
      </c>
      <c r="I974">
        <v>3</v>
      </c>
      <c r="J974" t="s">
        <v>105</v>
      </c>
      <c r="K974">
        <v>3.9</v>
      </c>
      <c r="L974" t="s">
        <v>30</v>
      </c>
      <c r="M974" s="1">
        <v>0.9</v>
      </c>
    </row>
    <row r="975" spans="1:13" x14ac:dyDescent="0.3">
      <c r="A975" t="s">
        <v>2016</v>
      </c>
      <c r="B975" t="s">
        <v>2017</v>
      </c>
      <c r="C975" t="str">
        <f t="shared" si="24"/>
        <v>Mark Chandler</v>
      </c>
      <c r="D975" t="s">
        <v>58</v>
      </c>
      <c r="E975">
        <v>35</v>
      </c>
      <c r="F975" t="s">
        <v>108</v>
      </c>
      <c r="G975" t="s">
        <v>109</v>
      </c>
      <c r="H975" t="s">
        <v>85</v>
      </c>
      <c r="I975">
        <v>14</v>
      </c>
      <c r="J975">
        <v>30</v>
      </c>
      <c r="K975">
        <v>1.6</v>
      </c>
      <c r="L975" t="s">
        <v>70</v>
      </c>
      <c r="M975" s="1">
        <v>0.67</v>
      </c>
    </row>
    <row r="976" spans="1:13" x14ac:dyDescent="0.3">
      <c r="A976" t="s">
        <v>2018</v>
      </c>
      <c r="B976" t="s">
        <v>2019</v>
      </c>
      <c r="C976" t="str">
        <f t="shared" si="24"/>
        <v>Crystal Brown</v>
      </c>
      <c r="D976" t="s">
        <v>37</v>
      </c>
      <c r="E976">
        <v>43</v>
      </c>
      <c r="F976" t="s">
        <v>184</v>
      </c>
      <c r="G976" t="s">
        <v>68</v>
      </c>
      <c r="H976" t="s">
        <v>16</v>
      </c>
      <c r="I976">
        <v>2</v>
      </c>
      <c r="K976">
        <v>1.8</v>
      </c>
      <c r="L976" t="s">
        <v>154</v>
      </c>
      <c r="M976" s="1">
        <v>0.61</v>
      </c>
    </row>
    <row r="977" spans="1:13" x14ac:dyDescent="0.3">
      <c r="A977" t="s">
        <v>2020</v>
      </c>
      <c r="B977" t="s">
        <v>2021</v>
      </c>
      <c r="C977" t="str">
        <f t="shared" si="24"/>
        <v>Timothy Barton</v>
      </c>
      <c r="D977" t="s">
        <v>26</v>
      </c>
      <c r="E977">
        <v>53</v>
      </c>
      <c r="F977" t="s">
        <v>108</v>
      </c>
      <c r="G977" t="s">
        <v>109</v>
      </c>
      <c r="H977" t="s">
        <v>110</v>
      </c>
      <c r="I977">
        <v>27</v>
      </c>
      <c r="J977">
        <v>100</v>
      </c>
      <c r="K977">
        <v>3.7</v>
      </c>
      <c r="L977" t="s">
        <v>154</v>
      </c>
      <c r="M977" s="1">
        <v>0.73</v>
      </c>
    </row>
    <row r="978" spans="1:13" x14ac:dyDescent="0.3">
      <c r="A978" t="s">
        <v>2022</v>
      </c>
      <c r="B978" t="s">
        <v>2023</v>
      </c>
      <c r="C978" t="str">
        <f t="shared" si="24"/>
        <v>Lisa Hickman</v>
      </c>
      <c r="D978" t="s">
        <v>33</v>
      </c>
      <c r="E978">
        <v>38</v>
      </c>
      <c r="F978" t="s">
        <v>119</v>
      </c>
      <c r="G978" t="s">
        <v>120</v>
      </c>
      <c r="H978" t="s">
        <v>85</v>
      </c>
      <c r="I978">
        <v>7</v>
      </c>
      <c r="J978">
        <v>75</v>
      </c>
      <c r="L978">
        <v>0</v>
      </c>
    </row>
    <row r="979" spans="1:13" x14ac:dyDescent="0.3">
      <c r="A979" t="s">
        <v>2024</v>
      </c>
      <c r="B979" t="s">
        <v>2025</v>
      </c>
      <c r="C979" t="str">
        <f t="shared" si="24"/>
        <v>Alan Mendoza</v>
      </c>
      <c r="D979" t="s">
        <v>93</v>
      </c>
      <c r="E979">
        <v>57</v>
      </c>
      <c r="F979" t="s">
        <v>63</v>
      </c>
      <c r="G979" t="s">
        <v>21</v>
      </c>
      <c r="H979" t="s">
        <v>74</v>
      </c>
      <c r="I979">
        <v>29</v>
      </c>
      <c r="J979">
        <v>75</v>
      </c>
      <c r="K979">
        <v>4.0999999999999996</v>
      </c>
      <c r="L979" t="s">
        <v>30</v>
      </c>
      <c r="M979" s="1">
        <v>0.9</v>
      </c>
    </row>
    <row r="980" spans="1:13" x14ac:dyDescent="0.3">
      <c r="A980" t="s">
        <v>2026</v>
      </c>
      <c r="B980" t="s">
        <v>2027</v>
      </c>
      <c r="C980" t="str">
        <f t="shared" si="24"/>
        <v>Jason Sanders</v>
      </c>
      <c r="D980" t="s">
        <v>58</v>
      </c>
      <c r="E980">
        <v>27</v>
      </c>
      <c r="F980" t="s">
        <v>169</v>
      </c>
      <c r="G980" t="s">
        <v>170</v>
      </c>
      <c r="H980" t="s">
        <v>16</v>
      </c>
      <c r="I980">
        <v>5</v>
      </c>
      <c r="J980" s="2">
        <v>75</v>
      </c>
      <c r="K980">
        <v>1.4</v>
      </c>
      <c r="L980" t="b">
        <v>1</v>
      </c>
      <c r="M980" s="1">
        <v>0.64</v>
      </c>
    </row>
    <row r="981" spans="1:13" x14ac:dyDescent="0.3">
      <c r="A981" t="s">
        <v>2028</v>
      </c>
      <c r="B981" t="s">
        <v>2029</v>
      </c>
      <c r="C981" t="str">
        <f t="shared" si="24"/>
        <v>Charles Dean</v>
      </c>
      <c r="D981" t="s">
        <v>45</v>
      </c>
      <c r="E981">
        <v>43</v>
      </c>
      <c r="F981" t="s">
        <v>67</v>
      </c>
      <c r="G981" t="s">
        <v>68</v>
      </c>
      <c r="H981" t="s">
        <v>34</v>
      </c>
      <c r="I981">
        <v>2</v>
      </c>
      <c r="J981">
        <v>100</v>
      </c>
      <c r="K981">
        <v>1.1000000000000001</v>
      </c>
      <c r="L981">
        <v>1</v>
      </c>
      <c r="M981" s="1">
        <v>0.63</v>
      </c>
    </row>
    <row r="982" spans="1:13" x14ac:dyDescent="0.3">
      <c r="A982" t="s">
        <v>2030</v>
      </c>
      <c r="B982" t="s">
        <v>2031</v>
      </c>
      <c r="C982" t="str">
        <f t="shared" si="24"/>
        <v>Blake Newton</v>
      </c>
      <c r="D982" t="s">
        <v>26</v>
      </c>
      <c r="E982">
        <v>48</v>
      </c>
      <c r="F982" t="s">
        <v>123</v>
      </c>
      <c r="G982" t="s">
        <v>21</v>
      </c>
      <c r="H982" t="s">
        <v>48</v>
      </c>
      <c r="I982">
        <v>18</v>
      </c>
      <c r="J982" s="2">
        <v>40</v>
      </c>
      <c r="K982">
        <v>3.9</v>
      </c>
    </row>
    <row r="983" spans="1:13" x14ac:dyDescent="0.3">
      <c r="A983" t="s">
        <v>2032</v>
      </c>
      <c r="B983" t="s">
        <v>2033</v>
      </c>
      <c r="C983" t="str">
        <f t="shared" si="24"/>
        <v>David Gonzalez</v>
      </c>
      <c r="D983" t="s">
        <v>88</v>
      </c>
      <c r="E983">
        <v>26</v>
      </c>
      <c r="F983" t="s">
        <v>103</v>
      </c>
      <c r="G983" t="s">
        <v>104</v>
      </c>
      <c r="H983" t="s">
        <v>74</v>
      </c>
      <c r="I983">
        <v>8</v>
      </c>
      <c r="J983">
        <v>20</v>
      </c>
      <c r="K983">
        <v>3.6</v>
      </c>
      <c r="L983">
        <v>0</v>
      </c>
      <c r="M983" s="1">
        <v>0.67</v>
      </c>
    </row>
    <row r="984" spans="1:13" x14ac:dyDescent="0.3">
      <c r="A984" t="s">
        <v>2034</v>
      </c>
      <c r="B984" t="s">
        <v>2035</v>
      </c>
      <c r="C984" t="str">
        <f t="shared" si="24"/>
        <v>Cindy Williams</v>
      </c>
      <c r="D984" t="s">
        <v>73</v>
      </c>
      <c r="F984" t="s">
        <v>148</v>
      </c>
      <c r="G984" t="s">
        <v>149</v>
      </c>
      <c r="H984" t="s">
        <v>29</v>
      </c>
      <c r="I984">
        <v>0</v>
      </c>
      <c r="J984" s="2">
        <v>40</v>
      </c>
      <c r="K984">
        <v>0</v>
      </c>
      <c r="L984" t="s">
        <v>154</v>
      </c>
      <c r="M984" s="1">
        <v>0.97</v>
      </c>
    </row>
    <row r="985" spans="1:13" x14ac:dyDescent="0.3">
      <c r="A985" t="s">
        <v>2036</v>
      </c>
      <c r="B985" t="s">
        <v>2037</v>
      </c>
      <c r="C985" t="str">
        <f t="shared" si="24"/>
        <v>Laura Wong DDS</v>
      </c>
      <c r="D985" t="s">
        <v>37</v>
      </c>
      <c r="E985">
        <v>50</v>
      </c>
      <c r="F985" t="s">
        <v>14</v>
      </c>
      <c r="G985" t="s">
        <v>15</v>
      </c>
      <c r="H985" t="s">
        <v>48</v>
      </c>
      <c r="I985">
        <v>16</v>
      </c>
      <c r="J985" s="2">
        <v>75</v>
      </c>
      <c r="K985">
        <v>4.5</v>
      </c>
      <c r="L985">
        <v>0</v>
      </c>
      <c r="M985">
        <v>69</v>
      </c>
    </row>
    <row r="986" spans="1:13" x14ac:dyDescent="0.3">
      <c r="A986" t="s">
        <v>2038</v>
      </c>
      <c r="B986" t="s">
        <v>2039</v>
      </c>
      <c r="C986" t="str">
        <f t="shared" si="24"/>
        <v>Robert Moran</v>
      </c>
      <c r="D986" t="s">
        <v>45</v>
      </c>
      <c r="E986">
        <v>48</v>
      </c>
      <c r="F986" t="s">
        <v>148</v>
      </c>
      <c r="G986" t="s">
        <v>149</v>
      </c>
      <c r="H986" t="s">
        <v>34</v>
      </c>
      <c r="I986">
        <v>8</v>
      </c>
      <c r="J986">
        <v>50</v>
      </c>
      <c r="L986">
        <v>1</v>
      </c>
      <c r="M986" s="1">
        <v>0.73</v>
      </c>
    </row>
    <row r="987" spans="1:13" x14ac:dyDescent="0.3">
      <c r="A987" t="s">
        <v>2040</v>
      </c>
      <c r="B987" t="s">
        <v>2041</v>
      </c>
      <c r="C987" t="str">
        <f t="shared" si="24"/>
        <v>Bradley Wu</v>
      </c>
      <c r="D987" t="s">
        <v>45</v>
      </c>
      <c r="E987">
        <v>60</v>
      </c>
      <c r="F987" t="s">
        <v>184</v>
      </c>
      <c r="G987" t="s">
        <v>68</v>
      </c>
      <c r="H987" t="s">
        <v>16</v>
      </c>
      <c r="I987">
        <v>39</v>
      </c>
      <c r="J987">
        <v>20</v>
      </c>
      <c r="K987">
        <v>1.4</v>
      </c>
      <c r="L987" t="b">
        <v>1</v>
      </c>
      <c r="M987" s="1">
        <v>0.86</v>
      </c>
    </row>
    <row r="988" spans="1:13" x14ac:dyDescent="0.3">
      <c r="A988" t="s">
        <v>2042</v>
      </c>
      <c r="B988" t="s">
        <v>2043</v>
      </c>
      <c r="C988" t="str">
        <f t="shared" si="24"/>
        <v>Daniel Thomas</v>
      </c>
      <c r="D988" t="s">
        <v>93</v>
      </c>
      <c r="E988">
        <v>26</v>
      </c>
      <c r="F988" t="s">
        <v>134</v>
      </c>
      <c r="G988" t="s">
        <v>135</v>
      </c>
      <c r="H988" t="s">
        <v>110</v>
      </c>
      <c r="J988">
        <v>50</v>
      </c>
      <c r="K988">
        <v>0</v>
      </c>
      <c r="L988" t="s">
        <v>64</v>
      </c>
      <c r="M988">
        <v>81</v>
      </c>
    </row>
    <row r="989" spans="1:13" x14ac:dyDescent="0.3">
      <c r="A989" t="s">
        <v>2044</v>
      </c>
      <c r="B989" t="s">
        <v>2045</v>
      </c>
      <c r="C989" t="str">
        <f t="shared" si="24"/>
        <v>Michelle Peterson</v>
      </c>
      <c r="D989" t="s">
        <v>19</v>
      </c>
      <c r="E989">
        <v>35</v>
      </c>
      <c r="F989" t="s">
        <v>108</v>
      </c>
      <c r="G989" t="s">
        <v>109</v>
      </c>
      <c r="H989" t="s">
        <v>29</v>
      </c>
      <c r="I989">
        <v>16</v>
      </c>
      <c r="J989" t="s">
        <v>23</v>
      </c>
      <c r="K989">
        <v>4.3</v>
      </c>
      <c r="L989">
        <v>1</v>
      </c>
      <c r="M989" s="1">
        <v>0.74</v>
      </c>
    </row>
    <row r="990" spans="1:13" x14ac:dyDescent="0.3">
      <c r="A990" t="s">
        <v>2046</v>
      </c>
      <c r="B990" t="s">
        <v>2047</v>
      </c>
      <c r="C990" t="str">
        <f t="shared" si="24"/>
        <v>Seth Thomas</v>
      </c>
      <c r="D990" t="s">
        <v>93</v>
      </c>
      <c r="E990">
        <v>23</v>
      </c>
      <c r="F990" t="s">
        <v>55</v>
      </c>
      <c r="G990" t="s">
        <v>21</v>
      </c>
      <c r="H990" t="s">
        <v>16</v>
      </c>
      <c r="I990">
        <v>4</v>
      </c>
      <c r="J990" s="2">
        <v>100</v>
      </c>
      <c r="K990">
        <v>2.2000000000000002</v>
      </c>
      <c r="L990">
        <v>1</v>
      </c>
      <c r="M990">
        <v>64</v>
      </c>
    </row>
    <row r="991" spans="1:13" x14ac:dyDescent="0.3">
      <c r="A991" t="s">
        <v>2048</v>
      </c>
      <c r="B991" t="s">
        <v>2049</v>
      </c>
      <c r="C991" t="str">
        <f t="shared" si="24"/>
        <v>Evan Ramos</v>
      </c>
      <c r="D991" t="s">
        <v>93</v>
      </c>
      <c r="E991">
        <v>37</v>
      </c>
      <c r="F991" t="s">
        <v>20</v>
      </c>
      <c r="G991" t="s">
        <v>21</v>
      </c>
      <c r="H991" t="s">
        <v>29</v>
      </c>
      <c r="I991">
        <v>4</v>
      </c>
      <c r="J991">
        <v>75</v>
      </c>
      <c r="K991">
        <v>3.2</v>
      </c>
      <c r="L991" t="b">
        <v>0</v>
      </c>
      <c r="M991" s="1">
        <v>0.76</v>
      </c>
    </row>
    <row r="992" spans="1:13" x14ac:dyDescent="0.3">
      <c r="A992" t="s">
        <v>2050</v>
      </c>
      <c r="B992" t="s">
        <v>2051</v>
      </c>
      <c r="C992" t="str">
        <f t="shared" si="24"/>
        <v>Michelle Solis</v>
      </c>
      <c r="D992" t="s">
        <v>19</v>
      </c>
      <c r="E992">
        <v>21</v>
      </c>
      <c r="F992" t="s">
        <v>67</v>
      </c>
      <c r="G992" t="s">
        <v>68</v>
      </c>
      <c r="H992" t="s">
        <v>42</v>
      </c>
      <c r="I992">
        <v>2</v>
      </c>
      <c r="J992">
        <v>100</v>
      </c>
      <c r="K992">
        <v>3.7</v>
      </c>
      <c r="L992" t="s">
        <v>64</v>
      </c>
      <c r="M992">
        <v>73</v>
      </c>
    </row>
    <row r="993" spans="1:13" x14ac:dyDescent="0.3">
      <c r="A993" t="s">
        <v>2052</v>
      </c>
      <c r="B993" t="s">
        <v>2053</v>
      </c>
      <c r="C993" t="str">
        <f t="shared" si="24"/>
        <v>Charlotte Taylor</v>
      </c>
      <c r="D993" t="s">
        <v>19</v>
      </c>
      <c r="E993">
        <v>58</v>
      </c>
      <c r="F993" t="s">
        <v>27</v>
      </c>
      <c r="G993" t="s">
        <v>28</v>
      </c>
      <c r="H993" t="s">
        <v>69</v>
      </c>
      <c r="I993">
        <v>37</v>
      </c>
      <c r="J993" t="s">
        <v>94</v>
      </c>
      <c r="K993">
        <v>4.9000000000000004</v>
      </c>
      <c r="L993" t="b">
        <v>0</v>
      </c>
      <c r="M993" s="1">
        <v>0.69</v>
      </c>
    </row>
    <row r="994" spans="1:13" x14ac:dyDescent="0.3">
      <c r="A994" t="s">
        <v>2054</v>
      </c>
      <c r="B994" t="s">
        <v>2055</v>
      </c>
      <c r="C994" t="str">
        <f t="shared" si="24"/>
        <v>Sandra Preston</v>
      </c>
      <c r="D994" t="s">
        <v>73</v>
      </c>
      <c r="E994">
        <v>52</v>
      </c>
      <c r="F994" t="s">
        <v>46</v>
      </c>
      <c r="G994" t="s">
        <v>47</v>
      </c>
      <c r="H994" t="s">
        <v>22</v>
      </c>
      <c r="I994">
        <v>32</v>
      </c>
      <c r="J994" s="2">
        <v>75</v>
      </c>
      <c r="K994">
        <v>3.2</v>
      </c>
      <c r="L994">
        <v>0</v>
      </c>
      <c r="M994" s="1">
        <v>0.79</v>
      </c>
    </row>
    <row r="995" spans="1:13" x14ac:dyDescent="0.3">
      <c r="A995" t="s">
        <v>2056</v>
      </c>
      <c r="B995" t="s">
        <v>2057</v>
      </c>
      <c r="C995" t="str">
        <f t="shared" si="24"/>
        <v>Jim Weiss</v>
      </c>
      <c r="D995" t="s">
        <v>26</v>
      </c>
      <c r="E995">
        <v>46</v>
      </c>
      <c r="F995" t="s">
        <v>119</v>
      </c>
      <c r="G995" t="s">
        <v>120</v>
      </c>
      <c r="H995" t="s">
        <v>22</v>
      </c>
      <c r="I995">
        <v>8</v>
      </c>
      <c r="J995">
        <v>20</v>
      </c>
      <c r="K995">
        <v>2.2000000000000002</v>
      </c>
      <c r="M995">
        <v>89</v>
      </c>
    </row>
    <row r="996" spans="1:13" x14ac:dyDescent="0.3">
      <c r="A996" t="s">
        <v>2058</v>
      </c>
      <c r="B996" t="s">
        <v>2059</v>
      </c>
      <c r="C996" t="str">
        <f t="shared" si="24"/>
        <v>Jennifer Hinton</v>
      </c>
      <c r="D996" t="s">
        <v>73</v>
      </c>
      <c r="E996">
        <v>34</v>
      </c>
      <c r="F996" t="s">
        <v>148</v>
      </c>
      <c r="G996" t="s">
        <v>149</v>
      </c>
      <c r="H996" t="s">
        <v>85</v>
      </c>
      <c r="I996">
        <v>8</v>
      </c>
      <c r="J996">
        <v>30</v>
      </c>
      <c r="K996">
        <v>3.9</v>
      </c>
      <c r="L996" t="s">
        <v>70</v>
      </c>
      <c r="M996" s="1">
        <v>0.95</v>
      </c>
    </row>
    <row r="997" spans="1:13" x14ac:dyDescent="0.3">
      <c r="A997" t="s">
        <v>2060</v>
      </c>
      <c r="B997" t="s">
        <v>2061</v>
      </c>
      <c r="C997" t="str">
        <f t="shared" si="24"/>
        <v>Albert Wilcox</v>
      </c>
      <c r="D997" t="s">
        <v>93</v>
      </c>
      <c r="E997">
        <v>56</v>
      </c>
      <c r="F997" t="s">
        <v>59</v>
      </c>
      <c r="G997" t="s">
        <v>60</v>
      </c>
      <c r="H997" t="s">
        <v>85</v>
      </c>
      <c r="I997">
        <v>13</v>
      </c>
      <c r="J997">
        <v>100</v>
      </c>
      <c r="K997">
        <v>0</v>
      </c>
      <c r="L997" t="s">
        <v>154</v>
      </c>
      <c r="M997" s="1">
        <v>0.68</v>
      </c>
    </row>
    <row r="998" spans="1:13" x14ac:dyDescent="0.3">
      <c r="A998" t="s">
        <v>2062</v>
      </c>
      <c r="B998" t="s">
        <v>2063</v>
      </c>
      <c r="C998" t="str">
        <f t="shared" si="24"/>
        <v>Cheryl Norris</v>
      </c>
      <c r="D998" t="s">
        <v>13</v>
      </c>
      <c r="E998">
        <v>26</v>
      </c>
      <c r="F998" t="s">
        <v>27</v>
      </c>
      <c r="G998" t="s">
        <v>28</v>
      </c>
      <c r="H998" t="s">
        <v>16</v>
      </c>
      <c r="I998">
        <v>6</v>
      </c>
      <c r="J998" t="s">
        <v>52</v>
      </c>
      <c r="K998">
        <v>2.8</v>
      </c>
      <c r="L998" t="s">
        <v>30</v>
      </c>
      <c r="M998">
        <v>82</v>
      </c>
    </row>
    <row r="999" spans="1:13" x14ac:dyDescent="0.3">
      <c r="A999" t="s">
        <v>2064</v>
      </c>
      <c r="B999" t="s">
        <v>2065</v>
      </c>
      <c r="C999" t="str">
        <f t="shared" si="24"/>
        <v>Kathy Watkins</v>
      </c>
      <c r="D999" t="s">
        <v>37</v>
      </c>
      <c r="E999">
        <v>37</v>
      </c>
      <c r="F999" t="s">
        <v>81</v>
      </c>
      <c r="G999" t="s">
        <v>82</v>
      </c>
      <c r="H999" t="s">
        <v>48</v>
      </c>
      <c r="I999">
        <v>15</v>
      </c>
      <c r="J999">
        <v>75</v>
      </c>
      <c r="L999" t="b">
        <v>0</v>
      </c>
      <c r="M999" s="1">
        <v>0.94</v>
      </c>
    </row>
    <row r="1000" spans="1:13" x14ac:dyDescent="0.3">
      <c r="A1000" t="s">
        <v>2066</v>
      </c>
      <c r="B1000" t="s">
        <v>2067</v>
      </c>
      <c r="C1000" t="str">
        <f t="shared" si="24"/>
        <v>John Obrien</v>
      </c>
      <c r="D1000" t="s">
        <v>45</v>
      </c>
      <c r="E1000">
        <v>46</v>
      </c>
      <c r="F1000" t="s">
        <v>119</v>
      </c>
      <c r="G1000" t="s">
        <v>120</v>
      </c>
      <c r="H1000" t="s">
        <v>110</v>
      </c>
      <c r="I1000">
        <v>22</v>
      </c>
      <c r="J1000">
        <v>100</v>
      </c>
      <c r="K1000">
        <v>2.8</v>
      </c>
      <c r="L1000" t="s">
        <v>64</v>
      </c>
      <c r="M1000">
        <v>97</v>
      </c>
    </row>
    <row r="1001" spans="1:13" x14ac:dyDescent="0.3">
      <c r="A1001" t="s">
        <v>2068</v>
      </c>
      <c r="B1001" t="s">
        <v>2069</v>
      </c>
      <c r="C1001" t="str">
        <f t="shared" si="24"/>
        <v>Dawn Green</v>
      </c>
      <c r="D1001" t="s">
        <v>73</v>
      </c>
      <c r="E1001">
        <v>36</v>
      </c>
      <c r="F1001" t="s">
        <v>173</v>
      </c>
      <c r="G1001" t="s">
        <v>68</v>
      </c>
      <c r="H1001" t="s">
        <v>69</v>
      </c>
      <c r="I1001">
        <v>18</v>
      </c>
      <c r="J1001" s="2">
        <v>20</v>
      </c>
      <c r="K1001">
        <v>1.7</v>
      </c>
      <c r="L1001">
        <v>1</v>
      </c>
      <c r="M1001">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6AC1-E721-4A43-9845-AC62D6BEF55B}">
  <dimension ref="A1:M1001"/>
  <sheetViews>
    <sheetView workbookViewId="0">
      <selection activeCell="E1" sqref="E1:E1048576"/>
    </sheetView>
  </sheetViews>
  <sheetFormatPr defaultRowHeight="14.4" x14ac:dyDescent="0.3"/>
  <cols>
    <col min="1" max="1" width="12.33203125" bestFit="1" customWidth="1"/>
    <col min="2" max="2" width="19.109375" bestFit="1" customWidth="1"/>
    <col min="3" max="3" width="6.88671875" bestFit="1" customWidth="1"/>
    <col min="4" max="4" width="4" bestFit="1" customWidth="1"/>
    <col min="5" max="5" width="14" bestFit="1" customWidth="1"/>
    <col min="6" max="6" width="10.109375" bestFit="1" customWidth="1"/>
    <col min="7" max="7" width="21.44140625" bestFit="1" customWidth="1"/>
    <col min="8" max="8" width="17.21875" hidden="1" customWidth="1"/>
    <col min="9" max="9" width="17.21875" customWidth="1"/>
    <col min="10" max="10" width="10.5546875" bestFit="1" customWidth="1"/>
    <col min="11" max="11" width="6.109375" bestFit="1" customWidth="1"/>
    <col min="12" max="12" width="9.5546875" bestFit="1" customWidth="1"/>
    <col min="13" max="13" width="15.77734375" bestFit="1" customWidth="1"/>
  </cols>
  <sheetData>
    <row r="1" spans="1:13" x14ac:dyDescent="0.3">
      <c r="A1" t="s">
        <v>2072</v>
      </c>
      <c r="B1" t="s">
        <v>2073</v>
      </c>
      <c r="C1" t="s">
        <v>2074</v>
      </c>
      <c r="D1" t="s">
        <v>2075</v>
      </c>
      <c r="E1" t="s">
        <v>2076</v>
      </c>
      <c r="F1" t="s">
        <v>2077</v>
      </c>
      <c r="G1" t="s">
        <v>2078</v>
      </c>
      <c r="H1" t="s">
        <v>6</v>
      </c>
      <c r="I1" t="s">
        <v>2079</v>
      </c>
      <c r="J1" t="s">
        <v>2080</v>
      </c>
      <c r="K1" t="s">
        <v>2081</v>
      </c>
      <c r="L1" t="s">
        <v>2082</v>
      </c>
      <c r="M1" t="s">
        <v>2083</v>
      </c>
    </row>
    <row r="2" spans="1:13" x14ac:dyDescent="0.3">
      <c r="A2" t="s">
        <v>11</v>
      </c>
      <c r="B2" t="s">
        <v>2084</v>
      </c>
      <c r="C2" t="s">
        <v>73</v>
      </c>
      <c r="D2">
        <v>52</v>
      </c>
      <c r="E2" t="s">
        <v>14</v>
      </c>
      <c r="F2" t="s">
        <v>15</v>
      </c>
      <c r="G2" t="s">
        <v>16</v>
      </c>
      <c r="H2">
        <v>34</v>
      </c>
      <c r="I2" t="str" cm="1">
        <f t="array" ref="I2">_xlfn.IFS(H2&lt;=5, "0-5", H2&lt;=10, "6-10", H2&lt;=15, "11-15", H2&lt;=20, "16-20", H2&gt;20, "21+")</f>
        <v>21+</v>
      </c>
      <c r="J2">
        <v>100</v>
      </c>
      <c r="L2" t="s">
        <v>2085</v>
      </c>
    </row>
    <row r="3" spans="1:13" x14ac:dyDescent="0.3">
      <c r="A3" t="s">
        <v>17</v>
      </c>
      <c r="B3" t="s">
        <v>18</v>
      </c>
      <c r="C3" t="s">
        <v>73</v>
      </c>
      <c r="D3">
        <v>52</v>
      </c>
      <c r="E3" t="s">
        <v>20</v>
      </c>
      <c r="F3" t="s">
        <v>21</v>
      </c>
      <c r="G3" t="s">
        <v>22</v>
      </c>
      <c r="H3">
        <v>31</v>
      </c>
      <c r="I3" t="str" cm="1">
        <f t="array" ref="I3">_xlfn.IFS(H3&lt;=5, "0-5", H3&lt;=10, "6-10", H3&lt;=15, "11-15", H3&lt;=20, "16-20", H3&gt;20, "21+")</f>
        <v>21+</v>
      </c>
      <c r="J3">
        <v>100</v>
      </c>
      <c r="K3">
        <v>3.3</v>
      </c>
      <c r="L3" t="s">
        <v>2086</v>
      </c>
      <c r="M3" s="1">
        <v>0.84</v>
      </c>
    </row>
    <row r="4" spans="1:13" x14ac:dyDescent="0.3">
      <c r="A4" t="s">
        <v>24</v>
      </c>
      <c r="B4" t="s">
        <v>25</v>
      </c>
      <c r="C4" t="s">
        <v>93</v>
      </c>
      <c r="D4">
        <v>53</v>
      </c>
      <c r="E4" t="s">
        <v>27</v>
      </c>
      <c r="F4" t="s">
        <v>28</v>
      </c>
      <c r="G4" t="s">
        <v>29</v>
      </c>
      <c r="H4">
        <v>4</v>
      </c>
      <c r="I4" t="str" cm="1">
        <f t="array" ref="I4">_xlfn.IFS(H4&lt;=5, "0-5", H4&lt;=10, "6-10", H4&lt;=15, "11-15", H4&lt;=20, "16-20", H4&gt;20, "21+")</f>
        <v>0-5</v>
      </c>
      <c r="J4">
        <v>50</v>
      </c>
      <c r="K4">
        <v>0</v>
      </c>
      <c r="L4" t="s">
        <v>2085</v>
      </c>
      <c r="M4" s="1">
        <v>0.71</v>
      </c>
    </row>
    <row r="5" spans="1:13" x14ac:dyDescent="0.3">
      <c r="A5" t="s">
        <v>31</v>
      </c>
      <c r="B5" t="s">
        <v>32</v>
      </c>
      <c r="C5" t="s">
        <v>73</v>
      </c>
      <c r="D5">
        <v>38</v>
      </c>
      <c r="E5" t="s">
        <v>20</v>
      </c>
      <c r="F5" t="s">
        <v>21</v>
      </c>
      <c r="G5" t="s">
        <v>34</v>
      </c>
      <c r="H5">
        <v>27</v>
      </c>
      <c r="I5" t="str" cm="1">
        <f t="array" ref="I5">_xlfn.IFS(H5&lt;=5, "0-5", H5&lt;=10, "6-10", H5&lt;=15, "11-15", H5&lt;=20, "16-20", H5&gt;20, "21+")</f>
        <v>21+</v>
      </c>
      <c r="J5">
        <v>40</v>
      </c>
      <c r="K5">
        <v>1.5</v>
      </c>
      <c r="L5" t="s">
        <v>2085</v>
      </c>
      <c r="M5" s="1">
        <v>0.9</v>
      </c>
    </row>
    <row r="6" spans="1:13" x14ac:dyDescent="0.3">
      <c r="A6" t="s">
        <v>35</v>
      </c>
      <c r="B6" t="s">
        <v>2087</v>
      </c>
      <c r="C6" t="s">
        <v>73</v>
      </c>
      <c r="D6">
        <v>53</v>
      </c>
      <c r="E6" t="s">
        <v>27</v>
      </c>
      <c r="F6" t="s">
        <v>28</v>
      </c>
      <c r="G6" t="s">
        <v>34</v>
      </c>
      <c r="H6">
        <v>14</v>
      </c>
      <c r="I6" t="str" cm="1">
        <f t="array" ref="I6">_xlfn.IFS(H6&lt;=5, "0-5", H6&lt;=10, "6-10", H6&lt;=15, "11-15", H6&lt;=20, "16-20", H6&gt;20, "21+")</f>
        <v>11-15</v>
      </c>
      <c r="J6">
        <v>30</v>
      </c>
      <c r="K6">
        <v>4.8</v>
      </c>
      <c r="L6" t="s">
        <v>2085</v>
      </c>
      <c r="M6" s="1">
        <v>0.83</v>
      </c>
    </row>
    <row r="7" spans="1:13" x14ac:dyDescent="0.3">
      <c r="A7" t="s">
        <v>38</v>
      </c>
      <c r="B7" t="s">
        <v>39</v>
      </c>
      <c r="C7" t="s">
        <v>73</v>
      </c>
      <c r="D7">
        <v>59</v>
      </c>
      <c r="E7" t="s">
        <v>40</v>
      </c>
      <c r="F7" t="s">
        <v>41</v>
      </c>
      <c r="G7" t="s">
        <v>42</v>
      </c>
      <c r="H7">
        <v>10</v>
      </c>
      <c r="I7" t="str" cm="1">
        <f t="array" ref="I7">_xlfn.IFS(H7&lt;=5, "0-5", H7&lt;=10, "6-10", H7&lt;=15, "11-15", H7&lt;=20, "16-20", H7&gt;20, "21+")</f>
        <v>6-10</v>
      </c>
      <c r="J7">
        <v>30</v>
      </c>
      <c r="K7">
        <v>2.4</v>
      </c>
      <c r="L7" t="s">
        <v>2085</v>
      </c>
    </row>
    <row r="8" spans="1:13" x14ac:dyDescent="0.3">
      <c r="A8" t="s">
        <v>43</v>
      </c>
      <c r="B8" t="s">
        <v>44</v>
      </c>
      <c r="C8" t="s">
        <v>93</v>
      </c>
      <c r="D8">
        <v>52</v>
      </c>
      <c r="E8" t="s">
        <v>46</v>
      </c>
      <c r="F8" t="s">
        <v>47</v>
      </c>
      <c r="G8" t="s">
        <v>48</v>
      </c>
      <c r="H8">
        <v>14</v>
      </c>
      <c r="I8" t="str" cm="1">
        <f t="array" ref="I8">_xlfn.IFS(H8&lt;=5, "0-5", H8&lt;=10, "6-10", H8&lt;=15, "11-15", H8&lt;=20, "16-20", H8&gt;20, "21+")</f>
        <v>11-15</v>
      </c>
      <c r="J8">
        <v>75</v>
      </c>
      <c r="K8">
        <v>3.1</v>
      </c>
      <c r="L8" t="s">
        <v>2085</v>
      </c>
      <c r="M8" s="1">
        <v>0.94</v>
      </c>
    </row>
    <row r="9" spans="1:13" x14ac:dyDescent="0.3">
      <c r="A9" t="s">
        <v>50</v>
      </c>
      <c r="B9" t="s">
        <v>51</v>
      </c>
      <c r="C9" t="s">
        <v>93</v>
      </c>
      <c r="D9">
        <v>43</v>
      </c>
      <c r="E9" t="s">
        <v>14</v>
      </c>
      <c r="F9" t="s">
        <v>15</v>
      </c>
      <c r="G9" t="s">
        <v>16</v>
      </c>
      <c r="H9">
        <v>4</v>
      </c>
      <c r="I9" t="str" cm="1">
        <f t="array" ref="I9">_xlfn.IFS(H9&lt;=5, "0-5", H9&lt;=10, "6-10", H9&lt;=15, "11-15", H9&lt;=20, "16-20", H9&gt;20, "21+")</f>
        <v>0-5</v>
      </c>
      <c r="J9">
        <v>40</v>
      </c>
      <c r="K9">
        <v>4.5999999999999996</v>
      </c>
      <c r="L9" t="s">
        <v>2085</v>
      </c>
      <c r="M9" s="1">
        <v>0.94</v>
      </c>
    </row>
    <row r="10" spans="1:13" x14ac:dyDescent="0.3">
      <c r="A10" t="s">
        <v>53</v>
      </c>
      <c r="B10" t="s">
        <v>54</v>
      </c>
      <c r="C10" t="s">
        <v>93</v>
      </c>
      <c r="D10">
        <v>26</v>
      </c>
      <c r="E10" t="s">
        <v>55</v>
      </c>
      <c r="F10" t="s">
        <v>21</v>
      </c>
      <c r="G10" t="s">
        <v>16</v>
      </c>
      <c r="H10">
        <v>22</v>
      </c>
      <c r="I10" t="str" cm="1">
        <f t="array" ref="I10">_xlfn.IFS(H10&lt;=5, "0-5", H10&lt;=10, "6-10", H10&lt;=15, "11-15", H10&lt;=20, "16-20", H10&gt;20, "21+")</f>
        <v>21+</v>
      </c>
      <c r="K10">
        <v>4</v>
      </c>
      <c r="L10" t="s">
        <v>2086</v>
      </c>
      <c r="M10" s="1">
        <v>0.76</v>
      </c>
    </row>
    <row r="11" spans="1:13" x14ac:dyDescent="0.3">
      <c r="A11" t="s">
        <v>56</v>
      </c>
      <c r="B11" t="s">
        <v>57</v>
      </c>
      <c r="C11" t="s">
        <v>93</v>
      </c>
      <c r="D11">
        <v>52</v>
      </c>
      <c r="E11" t="s">
        <v>59</v>
      </c>
      <c r="F11" t="s">
        <v>60</v>
      </c>
      <c r="G11" t="s">
        <v>42</v>
      </c>
      <c r="H11">
        <v>17</v>
      </c>
      <c r="I11" t="str" cm="1">
        <f t="array" ref="I11">_xlfn.IFS(H11&lt;=5, "0-5", H11&lt;=10, "6-10", H11&lt;=15, "11-15", H11&lt;=20, "16-20", H11&gt;20, "21+")</f>
        <v>16-20</v>
      </c>
      <c r="J11">
        <v>50</v>
      </c>
      <c r="L11" t="s">
        <v>2086</v>
      </c>
    </row>
    <row r="12" spans="1:13" x14ac:dyDescent="0.3">
      <c r="A12" t="s">
        <v>61</v>
      </c>
      <c r="B12" t="s">
        <v>62</v>
      </c>
      <c r="C12" t="s">
        <v>93</v>
      </c>
      <c r="D12">
        <v>40</v>
      </c>
      <c r="E12" t="s">
        <v>63</v>
      </c>
      <c r="F12" t="s">
        <v>21</v>
      </c>
      <c r="G12" t="s">
        <v>48</v>
      </c>
      <c r="H12">
        <v>15</v>
      </c>
      <c r="I12" t="str" cm="1">
        <f t="array" ref="I12">_xlfn.IFS(H12&lt;=5, "0-5", H12&lt;=10, "6-10", H12&lt;=15, "11-15", H12&lt;=20, "16-20", H12&gt;20, "21+")</f>
        <v>11-15</v>
      </c>
      <c r="J12">
        <v>40</v>
      </c>
      <c r="K12">
        <v>3.6</v>
      </c>
      <c r="L12" t="s">
        <v>2086</v>
      </c>
      <c r="M12" s="1">
        <v>0.77</v>
      </c>
    </row>
    <row r="13" spans="1:13" x14ac:dyDescent="0.3">
      <c r="A13" t="s">
        <v>65</v>
      </c>
      <c r="B13" t="s">
        <v>66</v>
      </c>
      <c r="C13" t="s">
        <v>73</v>
      </c>
      <c r="D13">
        <v>55</v>
      </c>
      <c r="E13" t="s">
        <v>67</v>
      </c>
      <c r="F13" t="s">
        <v>68</v>
      </c>
      <c r="G13" t="s">
        <v>69</v>
      </c>
      <c r="H13">
        <v>18</v>
      </c>
      <c r="I13" t="str" cm="1">
        <f t="array" ref="I13">_xlfn.IFS(H13&lt;=5, "0-5", H13&lt;=10, "6-10", H13&lt;=15, "11-15", H13&lt;=20, "16-20", H13&gt;20, "21+")</f>
        <v>16-20</v>
      </c>
      <c r="L13" t="s">
        <v>2086</v>
      </c>
      <c r="M13" s="1">
        <v>0.86</v>
      </c>
    </row>
    <row r="14" spans="1:13" x14ac:dyDescent="0.3">
      <c r="A14" t="s">
        <v>71</v>
      </c>
      <c r="B14" t="s">
        <v>72</v>
      </c>
      <c r="C14" t="s">
        <v>73</v>
      </c>
      <c r="D14">
        <v>57</v>
      </c>
      <c r="E14" t="s">
        <v>63</v>
      </c>
      <c r="F14" t="s">
        <v>21</v>
      </c>
      <c r="G14" t="s">
        <v>74</v>
      </c>
      <c r="H14">
        <v>20</v>
      </c>
      <c r="I14" t="str" cm="1">
        <f t="array" ref="I14">_xlfn.IFS(H14&lt;=5, "0-5", H14&lt;=10, "6-10", H14&lt;=15, "11-15", H14&lt;=20, "16-20", H14&gt;20, "21+")</f>
        <v>16-20</v>
      </c>
      <c r="K14">
        <v>2</v>
      </c>
      <c r="L14" t="s">
        <v>2085</v>
      </c>
      <c r="M14" s="1">
        <v>0.86</v>
      </c>
    </row>
    <row r="15" spans="1:13" x14ac:dyDescent="0.3">
      <c r="A15" t="s">
        <v>75</v>
      </c>
      <c r="B15" t="s">
        <v>76</v>
      </c>
      <c r="C15" t="s">
        <v>93</v>
      </c>
      <c r="D15">
        <v>38</v>
      </c>
      <c r="E15" t="s">
        <v>67</v>
      </c>
      <c r="F15" t="s">
        <v>68</v>
      </c>
      <c r="G15" t="s">
        <v>29</v>
      </c>
      <c r="H15">
        <v>22</v>
      </c>
      <c r="I15" t="str" cm="1">
        <f t="array" ref="I15">_xlfn.IFS(H15&lt;=5, "0-5", H15&lt;=10, "6-10", H15&lt;=15, "11-15", H15&lt;=20, "16-20", H15&gt;20, "21+")</f>
        <v>21+</v>
      </c>
      <c r="J15">
        <v>75</v>
      </c>
      <c r="K15">
        <v>2.9</v>
      </c>
      <c r="L15" t="s">
        <v>2086</v>
      </c>
      <c r="M15" s="1">
        <v>0.93</v>
      </c>
    </row>
    <row r="16" spans="1:13" x14ac:dyDescent="0.3">
      <c r="A16" t="s">
        <v>77</v>
      </c>
      <c r="B16" t="s">
        <v>78</v>
      </c>
      <c r="C16" t="s">
        <v>93</v>
      </c>
      <c r="D16">
        <v>50</v>
      </c>
      <c r="E16" t="s">
        <v>27</v>
      </c>
      <c r="F16" t="s">
        <v>28</v>
      </c>
      <c r="G16" t="s">
        <v>48</v>
      </c>
      <c r="H16">
        <v>0</v>
      </c>
      <c r="I16" t="str" cm="1">
        <f t="array" ref="I16">_xlfn.IFS(H16&lt;=5, "0-5", H16&lt;=10, "6-10", H16&lt;=15, "11-15", H16&lt;=20, "16-20", H16&gt;20, "21+")</f>
        <v>0-5</v>
      </c>
      <c r="J16">
        <v>75</v>
      </c>
      <c r="K16">
        <v>3.7</v>
      </c>
      <c r="L16" t="s">
        <v>2086</v>
      </c>
      <c r="M16" s="1">
        <v>0.7</v>
      </c>
    </row>
    <row r="17" spans="1:13" x14ac:dyDescent="0.3">
      <c r="A17" t="s">
        <v>79</v>
      </c>
      <c r="B17" t="s">
        <v>80</v>
      </c>
      <c r="C17" t="s">
        <v>93</v>
      </c>
      <c r="D17">
        <v>42</v>
      </c>
      <c r="E17" t="s">
        <v>81</v>
      </c>
      <c r="F17" t="s">
        <v>82</v>
      </c>
      <c r="G17" t="s">
        <v>48</v>
      </c>
      <c r="H17">
        <v>13</v>
      </c>
      <c r="I17" t="str" cm="1">
        <f t="array" ref="I17">_xlfn.IFS(H17&lt;=5, "0-5", H17&lt;=10, "6-10", H17&lt;=15, "11-15", H17&lt;=20, "16-20", H17&gt;20, "21+")</f>
        <v>11-15</v>
      </c>
      <c r="J17">
        <v>30</v>
      </c>
      <c r="K17">
        <v>1.2</v>
      </c>
      <c r="L17" t="s">
        <v>2085</v>
      </c>
      <c r="M17" s="1">
        <v>0.69</v>
      </c>
    </row>
    <row r="18" spans="1:13" x14ac:dyDescent="0.3">
      <c r="A18" t="s">
        <v>83</v>
      </c>
      <c r="B18" t="s">
        <v>84</v>
      </c>
      <c r="C18" t="s">
        <v>73</v>
      </c>
      <c r="D18">
        <v>39</v>
      </c>
      <c r="E18" t="s">
        <v>20</v>
      </c>
      <c r="F18" t="s">
        <v>21</v>
      </c>
      <c r="G18" t="s">
        <v>85</v>
      </c>
      <c r="I18" t="str" cm="1">
        <f t="array" ref="I18">_xlfn.IFS(H18&lt;=5, "0-5", H18&lt;=10, "6-10", H18&lt;=15, "11-15", H18&lt;=20, "16-20", H18&gt;20, "21+")</f>
        <v>0-5</v>
      </c>
      <c r="J18">
        <v>30</v>
      </c>
      <c r="K18">
        <v>2.5</v>
      </c>
      <c r="L18" t="s">
        <v>2085</v>
      </c>
      <c r="M18" s="1">
        <v>0.6</v>
      </c>
    </row>
    <row r="19" spans="1:13" x14ac:dyDescent="0.3">
      <c r="A19" t="s">
        <v>86</v>
      </c>
      <c r="B19" t="s">
        <v>87</v>
      </c>
      <c r="C19" t="s">
        <v>93</v>
      </c>
      <c r="D19">
        <v>56</v>
      </c>
      <c r="E19" t="s">
        <v>89</v>
      </c>
      <c r="F19" t="s">
        <v>90</v>
      </c>
      <c r="G19" t="s">
        <v>16</v>
      </c>
      <c r="H19">
        <v>31</v>
      </c>
      <c r="I19" t="str" cm="1">
        <f t="array" ref="I19">_xlfn.IFS(H19&lt;=5, "0-5", H19&lt;=10, "6-10", H19&lt;=15, "11-15", H19&lt;=20, "16-20", H19&gt;20, "21+")</f>
        <v>21+</v>
      </c>
      <c r="M19" s="1">
        <v>0.87</v>
      </c>
    </row>
    <row r="20" spans="1:13" x14ac:dyDescent="0.3">
      <c r="A20" t="s">
        <v>91</v>
      </c>
      <c r="B20" t="s">
        <v>92</v>
      </c>
      <c r="C20" t="s">
        <v>93</v>
      </c>
      <c r="D20">
        <v>56</v>
      </c>
      <c r="E20" t="s">
        <v>55</v>
      </c>
      <c r="F20" t="s">
        <v>21</v>
      </c>
      <c r="G20" t="s">
        <v>69</v>
      </c>
      <c r="H20">
        <v>3</v>
      </c>
      <c r="I20" t="str" cm="1">
        <f t="array" ref="I20">_xlfn.IFS(H20&lt;=5, "0-5", H20&lt;=10, "6-10", H20&lt;=15, "11-15", H20&lt;=20, "16-20", H20&gt;20, "21+")</f>
        <v>0-5</v>
      </c>
      <c r="J20">
        <v>50</v>
      </c>
      <c r="K20">
        <v>1.1000000000000001</v>
      </c>
      <c r="L20" t="s">
        <v>2085</v>
      </c>
      <c r="M20" s="1">
        <v>0.75</v>
      </c>
    </row>
    <row r="21" spans="1:13" x14ac:dyDescent="0.3">
      <c r="A21" t="s">
        <v>95</v>
      </c>
      <c r="B21" t="s">
        <v>96</v>
      </c>
      <c r="C21" t="s">
        <v>93</v>
      </c>
      <c r="D21">
        <v>57</v>
      </c>
      <c r="E21" t="s">
        <v>14</v>
      </c>
      <c r="F21" t="s">
        <v>15</v>
      </c>
      <c r="G21" t="s">
        <v>34</v>
      </c>
      <c r="H21">
        <v>9</v>
      </c>
      <c r="I21" t="str" cm="1">
        <f t="array" ref="I21">_xlfn.IFS(H21&lt;=5, "0-5", H21&lt;=10, "6-10", H21&lt;=15, "11-15", H21&lt;=20, "16-20", H21&gt;20, "21+")</f>
        <v>6-10</v>
      </c>
      <c r="J21">
        <v>100</v>
      </c>
      <c r="K21">
        <v>1.8</v>
      </c>
      <c r="L21" t="s">
        <v>2086</v>
      </c>
      <c r="M21" s="1">
        <v>0.68</v>
      </c>
    </row>
    <row r="22" spans="1:13" x14ac:dyDescent="0.3">
      <c r="A22" t="s">
        <v>97</v>
      </c>
      <c r="B22" t="s">
        <v>98</v>
      </c>
      <c r="C22" t="s">
        <v>93</v>
      </c>
      <c r="E22" t="s">
        <v>46</v>
      </c>
      <c r="F22" t="s">
        <v>47</v>
      </c>
      <c r="G22" t="s">
        <v>42</v>
      </c>
      <c r="I22" t="str" cm="1">
        <f t="array" ref="I22">_xlfn.IFS(H22&lt;=5, "0-5", H22&lt;=10, "6-10", H22&lt;=15, "11-15", H22&lt;=20, "16-20", H22&gt;20, "21+")</f>
        <v>0-5</v>
      </c>
      <c r="J22">
        <v>50</v>
      </c>
      <c r="K22">
        <v>1.8</v>
      </c>
      <c r="L22" t="s">
        <v>2085</v>
      </c>
      <c r="M22" s="1">
        <v>0.65</v>
      </c>
    </row>
    <row r="23" spans="1:13" x14ac:dyDescent="0.3">
      <c r="A23" t="s">
        <v>99</v>
      </c>
      <c r="B23" t="s">
        <v>100</v>
      </c>
      <c r="C23" t="s">
        <v>93</v>
      </c>
      <c r="D23">
        <v>51</v>
      </c>
      <c r="E23" t="s">
        <v>81</v>
      </c>
      <c r="F23" t="s">
        <v>82</v>
      </c>
      <c r="G23" t="s">
        <v>85</v>
      </c>
      <c r="H23">
        <v>21</v>
      </c>
      <c r="I23" t="str" cm="1">
        <f t="array" ref="I23">_xlfn.IFS(H23&lt;=5, "0-5", H23&lt;=10, "6-10", H23&lt;=15, "11-15", H23&lt;=20, "16-20", H23&gt;20, "21+")</f>
        <v>21+</v>
      </c>
      <c r="K23">
        <v>2.4</v>
      </c>
      <c r="L23" t="s">
        <v>2085</v>
      </c>
      <c r="M23" s="1">
        <v>0.69</v>
      </c>
    </row>
    <row r="24" spans="1:13" x14ac:dyDescent="0.3">
      <c r="A24" t="s">
        <v>101</v>
      </c>
      <c r="B24" t="s">
        <v>102</v>
      </c>
      <c r="C24" t="s">
        <v>93</v>
      </c>
      <c r="D24">
        <v>51</v>
      </c>
      <c r="E24" t="s">
        <v>103</v>
      </c>
      <c r="F24" t="s">
        <v>104</v>
      </c>
      <c r="G24" t="s">
        <v>74</v>
      </c>
      <c r="H24">
        <v>15</v>
      </c>
      <c r="I24" t="str" cm="1">
        <f t="array" ref="I24">_xlfn.IFS(H24&lt;=5, "0-5", H24&lt;=10, "6-10", H24&lt;=15, "11-15", H24&lt;=20, "16-20", H24&gt;20, "21+")</f>
        <v>11-15</v>
      </c>
      <c r="J24">
        <v>30</v>
      </c>
      <c r="K24">
        <v>4.7</v>
      </c>
      <c r="L24" t="s">
        <v>2085</v>
      </c>
    </row>
    <row r="25" spans="1:13" x14ac:dyDescent="0.3">
      <c r="A25" t="s">
        <v>106</v>
      </c>
      <c r="B25" t="s">
        <v>107</v>
      </c>
      <c r="C25" t="s">
        <v>73</v>
      </c>
      <c r="D25">
        <v>51</v>
      </c>
      <c r="E25" t="s">
        <v>108</v>
      </c>
      <c r="F25" t="s">
        <v>109</v>
      </c>
      <c r="G25" t="s">
        <v>110</v>
      </c>
      <c r="H25">
        <v>13</v>
      </c>
      <c r="I25" t="str" cm="1">
        <f t="array" ref="I25">_xlfn.IFS(H25&lt;=5, "0-5", H25&lt;=10, "6-10", H25&lt;=15, "11-15", H25&lt;=20, "16-20", H25&gt;20, "21+")</f>
        <v>11-15</v>
      </c>
      <c r="J25">
        <v>50</v>
      </c>
      <c r="K25">
        <v>1.3</v>
      </c>
      <c r="L25" t="s">
        <v>2086</v>
      </c>
      <c r="M25" s="1">
        <v>1</v>
      </c>
    </row>
    <row r="26" spans="1:13" x14ac:dyDescent="0.3">
      <c r="A26" t="s">
        <v>111</v>
      </c>
      <c r="B26" t="s">
        <v>112</v>
      </c>
      <c r="C26" t="s">
        <v>73</v>
      </c>
      <c r="D26">
        <v>54</v>
      </c>
      <c r="E26" t="s">
        <v>46</v>
      </c>
      <c r="F26" t="s">
        <v>47</v>
      </c>
      <c r="G26" t="s">
        <v>110</v>
      </c>
      <c r="H26">
        <v>0</v>
      </c>
      <c r="I26" t="str" cm="1">
        <f t="array" ref="I26">_xlfn.IFS(H26&lt;=5, "0-5", H26&lt;=10, "6-10", H26&lt;=15, "11-15", H26&lt;=20, "16-20", H26&gt;20, "21+")</f>
        <v>0-5</v>
      </c>
      <c r="J26">
        <v>75</v>
      </c>
      <c r="K26">
        <v>2.9</v>
      </c>
      <c r="M26" s="1">
        <v>0.92</v>
      </c>
    </row>
    <row r="27" spans="1:13" x14ac:dyDescent="0.3">
      <c r="A27" t="s">
        <v>113</v>
      </c>
      <c r="B27" t="s">
        <v>114</v>
      </c>
      <c r="C27" t="s">
        <v>73</v>
      </c>
      <c r="D27">
        <v>22</v>
      </c>
      <c r="E27" t="s">
        <v>108</v>
      </c>
      <c r="F27" t="s">
        <v>109</v>
      </c>
      <c r="G27" t="s">
        <v>85</v>
      </c>
      <c r="H27">
        <v>8</v>
      </c>
      <c r="I27" t="str" cm="1">
        <f t="array" ref="I27">_xlfn.IFS(H27&lt;=5, "0-5", H27&lt;=10, "6-10", H27&lt;=15, "11-15", H27&lt;=20, "16-20", H27&gt;20, "21+")</f>
        <v>6-10</v>
      </c>
      <c r="J27">
        <v>30</v>
      </c>
      <c r="K27">
        <v>1.2</v>
      </c>
      <c r="L27" t="s">
        <v>2086</v>
      </c>
      <c r="M27" s="1">
        <v>0.7</v>
      </c>
    </row>
    <row r="28" spans="1:13" x14ac:dyDescent="0.3">
      <c r="A28" t="s">
        <v>115</v>
      </c>
      <c r="B28" t="s">
        <v>116</v>
      </c>
      <c r="C28" t="s">
        <v>73</v>
      </c>
      <c r="D28">
        <v>34</v>
      </c>
      <c r="E28" t="s">
        <v>81</v>
      </c>
      <c r="F28" t="s">
        <v>82</v>
      </c>
      <c r="G28" t="s">
        <v>16</v>
      </c>
      <c r="H28">
        <v>11</v>
      </c>
      <c r="I28" t="str" cm="1">
        <f t="array" ref="I28">_xlfn.IFS(H28&lt;=5, "0-5", H28&lt;=10, "6-10", H28&lt;=15, "11-15", H28&lt;=20, "16-20", H28&gt;20, "21+")</f>
        <v>11-15</v>
      </c>
      <c r="J28">
        <v>20</v>
      </c>
      <c r="K28">
        <v>0</v>
      </c>
      <c r="L28" t="s">
        <v>2086</v>
      </c>
      <c r="M28" s="1">
        <v>0.89</v>
      </c>
    </row>
    <row r="29" spans="1:13" x14ac:dyDescent="0.3">
      <c r="A29" t="s">
        <v>117</v>
      </c>
      <c r="B29" t="s">
        <v>118</v>
      </c>
      <c r="C29" t="s">
        <v>73</v>
      </c>
      <c r="D29">
        <v>36</v>
      </c>
      <c r="E29" t="s">
        <v>119</v>
      </c>
      <c r="F29" t="s">
        <v>120</v>
      </c>
      <c r="G29" t="s">
        <v>29</v>
      </c>
      <c r="H29">
        <v>22</v>
      </c>
      <c r="I29" t="str" cm="1">
        <f t="array" ref="I29">_xlfn.IFS(H29&lt;=5, "0-5", H29&lt;=10, "6-10", H29&lt;=15, "11-15", H29&lt;=20, "16-20", H29&gt;20, "21+")</f>
        <v>21+</v>
      </c>
      <c r="K29">
        <v>1.8</v>
      </c>
      <c r="L29" t="s">
        <v>2086</v>
      </c>
      <c r="M29" s="1">
        <v>0.86</v>
      </c>
    </row>
    <row r="30" spans="1:13" x14ac:dyDescent="0.3">
      <c r="A30" t="s">
        <v>121</v>
      </c>
      <c r="B30" t="s">
        <v>122</v>
      </c>
      <c r="C30" t="s">
        <v>73</v>
      </c>
      <c r="D30">
        <v>47</v>
      </c>
      <c r="E30" t="s">
        <v>123</v>
      </c>
      <c r="F30" t="s">
        <v>21</v>
      </c>
      <c r="G30" t="s">
        <v>42</v>
      </c>
      <c r="H30">
        <v>14</v>
      </c>
      <c r="I30" t="str" cm="1">
        <f t="array" ref="I30">_xlfn.IFS(H30&lt;=5, "0-5", H30&lt;=10, "6-10", H30&lt;=15, "11-15", H30&lt;=20, "16-20", H30&gt;20, "21+")</f>
        <v>11-15</v>
      </c>
      <c r="J30">
        <v>30</v>
      </c>
      <c r="K30">
        <v>1.3</v>
      </c>
      <c r="L30" t="s">
        <v>2085</v>
      </c>
      <c r="M30" s="1">
        <v>0.62</v>
      </c>
    </row>
    <row r="31" spans="1:13" x14ac:dyDescent="0.3">
      <c r="A31" t="s">
        <v>124</v>
      </c>
      <c r="B31" t="s">
        <v>125</v>
      </c>
      <c r="C31" t="s">
        <v>73</v>
      </c>
      <c r="D31">
        <v>41</v>
      </c>
      <c r="E31" t="s">
        <v>40</v>
      </c>
      <c r="F31" t="s">
        <v>41</v>
      </c>
      <c r="G31" t="s">
        <v>48</v>
      </c>
      <c r="H31">
        <v>4</v>
      </c>
      <c r="I31" t="str" cm="1">
        <f t="array" ref="I31">_xlfn.IFS(H31&lt;=5, "0-5", H31&lt;=10, "6-10", H31&lt;=15, "11-15", H31&lt;=20, "16-20", H31&gt;20, "21+")</f>
        <v>0-5</v>
      </c>
      <c r="J31">
        <v>75</v>
      </c>
      <c r="K31">
        <v>1.2</v>
      </c>
      <c r="L31" t="s">
        <v>2085</v>
      </c>
    </row>
    <row r="32" spans="1:13" x14ac:dyDescent="0.3">
      <c r="A32" t="s">
        <v>126</v>
      </c>
      <c r="B32" t="s">
        <v>127</v>
      </c>
      <c r="C32" t="s">
        <v>93</v>
      </c>
      <c r="D32">
        <v>22</v>
      </c>
      <c r="E32" t="s">
        <v>40</v>
      </c>
      <c r="F32" t="s">
        <v>41</v>
      </c>
      <c r="G32" t="s">
        <v>85</v>
      </c>
      <c r="H32">
        <v>19</v>
      </c>
      <c r="I32" t="str" cm="1">
        <f t="array" ref="I32">_xlfn.IFS(H32&lt;=5, "0-5", H32&lt;=10, "6-10", H32&lt;=15, "11-15", H32&lt;=20, "16-20", H32&gt;20, "21+")</f>
        <v>16-20</v>
      </c>
      <c r="K32">
        <v>1</v>
      </c>
      <c r="L32" t="s">
        <v>2086</v>
      </c>
    </row>
    <row r="33" spans="1:13" x14ac:dyDescent="0.3">
      <c r="A33" t="s">
        <v>128</v>
      </c>
      <c r="B33" t="s">
        <v>129</v>
      </c>
      <c r="C33" t="s">
        <v>93</v>
      </c>
      <c r="D33">
        <v>38</v>
      </c>
      <c r="E33" t="s">
        <v>130</v>
      </c>
      <c r="F33" t="s">
        <v>131</v>
      </c>
      <c r="G33" t="s">
        <v>110</v>
      </c>
      <c r="H33">
        <v>9</v>
      </c>
      <c r="I33" t="str" cm="1">
        <f t="array" ref="I33">_xlfn.IFS(H33&lt;=5, "0-5", H33&lt;=10, "6-10", H33&lt;=15, "11-15", H33&lt;=20, "16-20", H33&gt;20, "21+")</f>
        <v>6-10</v>
      </c>
      <c r="J33">
        <v>100</v>
      </c>
      <c r="K33">
        <v>4.2</v>
      </c>
      <c r="L33" t="s">
        <v>2085</v>
      </c>
      <c r="M33" s="1">
        <v>0.68</v>
      </c>
    </row>
    <row r="34" spans="1:13" x14ac:dyDescent="0.3">
      <c r="A34" t="s">
        <v>132</v>
      </c>
      <c r="B34" t="s">
        <v>133</v>
      </c>
      <c r="C34" t="s">
        <v>93</v>
      </c>
      <c r="D34">
        <v>46</v>
      </c>
      <c r="E34" t="s">
        <v>134</v>
      </c>
      <c r="F34" t="s">
        <v>135</v>
      </c>
      <c r="G34" t="s">
        <v>42</v>
      </c>
      <c r="H34">
        <v>9</v>
      </c>
      <c r="I34" t="str" cm="1">
        <f t="array" ref="I34">_xlfn.IFS(H34&lt;=5, "0-5", H34&lt;=10, "6-10", H34&lt;=15, "11-15", H34&lt;=20, "16-20", H34&gt;20, "21+")</f>
        <v>6-10</v>
      </c>
      <c r="J34">
        <v>20</v>
      </c>
      <c r="K34">
        <v>1.4</v>
      </c>
      <c r="L34" t="s">
        <v>2086</v>
      </c>
      <c r="M34" s="1">
        <v>0.76</v>
      </c>
    </row>
    <row r="35" spans="1:13" x14ac:dyDescent="0.3">
      <c r="A35" t="s">
        <v>136</v>
      </c>
      <c r="B35" t="s">
        <v>137</v>
      </c>
      <c r="C35" t="s">
        <v>93</v>
      </c>
      <c r="E35" t="s">
        <v>108</v>
      </c>
      <c r="F35" t="s">
        <v>109</v>
      </c>
      <c r="G35" t="s">
        <v>42</v>
      </c>
      <c r="H35">
        <v>32</v>
      </c>
      <c r="I35" t="str" cm="1">
        <f t="array" ref="I35">_xlfn.IFS(H35&lt;=5, "0-5", H35&lt;=10, "6-10", H35&lt;=15, "11-15", H35&lt;=20, "16-20", H35&gt;20, "21+")</f>
        <v>21+</v>
      </c>
      <c r="J35">
        <v>40</v>
      </c>
      <c r="K35">
        <v>2.4</v>
      </c>
      <c r="L35" t="s">
        <v>2086</v>
      </c>
      <c r="M35" s="1">
        <v>0.82</v>
      </c>
    </row>
    <row r="36" spans="1:13" x14ac:dyDescent="0.3">
      <c r="A36" t="s">
        <v>138</v>
      </c>
      <c r="B36" t="s">
        <v>139</v>
      </c>
      <c r="C36" t="s">
        <v>73</v>
      </c>
      <c r="D36">
        <v>54</v>
      </c>
      <c r="E36" t="s">
        <v>55</v>
      </c>
      <c r="F36" t="s">
        <v>21</v>
      </c>
      <c r="G36" t="s">
        <v>34</v>
      </c>
      <c r="H36">
        <v>28</v>
      </c>
      <c r="I36" t="str" cm="1">
        <f t="array" ref="I36">_xlfn.IFS(H36&lt;=5, "0-5", H36&lt;=10, "6-10", H36&lt;=15, "11-15", H36&lt;=20, "16-20", H36&gt;20, "21+")</f>
        <v>21+</v>
      </c>
      <c r="J36">
        <v>75</v>
      </c>
      <c r="K36">
        <v>1</v>
      </c>
      <c r="L36" t="s">
        <v>2086</v>
      </c>
      <c r="M36" s="1">
        <v>0.81</v>
      </c>
    </row>
    <row r="37" spans="1:13" x14ac:dyDescent="0.3">
      <c r="A37" t="s">
        <v>140</v>
      </c>
      <c r="B37" t="s">
        <v>141</v>
      </c>
      <c r="C37" t="s">
        <v>73</v>
      </c>
      <c r="D37">
        <v>52</v>
      </c>
      <c r="E37" t="s">
        <v>108</v>
      </c>
      <c r="F37" t="s">
        <v>109</v>
      </c>
      <c r="G37" t="s">
        <v>34</v>
      </c>
      <c r="H37">
        <v>6</v>
      </c>
      <c r="I37" t="str" cm="1">
        <f t="array" ref="I37">_xlfn.IFS(H37&lt;=5, "0-5", H37&lt;=10, "6-10", H37&lt;=15, "11-15", H37&lt;=20, "16-20", H37&gt;20, "21+")</f>
        <v>6-10</v>
      </c>
      <c r="J37">
        <v>20</v>
      </c>
      <c r="L37" t="s">
        <v>2085</v>
      </c>
    </row>
    <row r="38" spans="1:13" x14ac:dyDescent="0.3">
      <c r="A38" t="s">
        <v>142</v>
      </c>
      <c r="B38" t="s">
        <v>143</v>
      </c>
      <c r="C38" t="s">
        <v>73</v>
      </c>
      <c r="D38">
        <v>42</v>
      </c>
      <c r="E38" t="s">
        <v>81</v>
      </c>
      <c r="F38" t="s">
        <v>82</v>
      </c>
      <c r="G38" t="s">
        <v>22</v>
      </c>
      <c r="H38">
        <v>10</v>
      </c>
      <c r="I38" t="str" cm="1">
        <f t="array" ref="I38">_xlfn.IFS(H38&lt;=5, "0-5", H38&lt;=10, "6-10", H38&lt;=15, "11-15", H38&lt;=20, "16-20", H38&gt;20, "21+")</f>
        <v>6-10</v>
      </c>
      <c r="J38">
        <v>40</v>
      </c>
      <c r="L38" t="s">
        <v>2085</v>
      </c>
      <c r="M38" s="1">
        <v>0.63</v>
      </c>
    </row>
    <row r="39" spans="1:13" x14ac:dyDescent="0.3">
      <c r="A39" t="s">
        <v>144</v>
      </c>
      <c r="B39" t="s">
        <v>145</v>
      </c>
      <c r="C39" t="s">
        <v>73</v>
      </c>
      <c r="D39">
        <v>29</v>
      </c>
      <c r="E39" t="s">
        <v>40</v>
      </c>
      <c r="F39" t="s">
        <v>41</v>
      </c>
      <c r="G39" t="s">
        <v>29</v>
      </c>
      <c r="H39">
        <v>23</v>
      </c>
      <c r="I39" t="str" cm="1">
        <f t="array" ref="I39">_xlfn.IFS(H39&lt;=5, "0-5", H39&lt;=10, "6-10", H39&lt;=15, "11-15", H39&lt;=20, "16-20", H39&gt;20, "21+")</f>
        <v>21+</v>
      </c>
      <c r="J39">
        <v>40</v>
      </c>
      <c r="K39">
        <v>2.2000000000000002</v>
      </c>
      <c r="L39" t="s">
        <v>2085</v>
      </c>
      <c r="M39" s="1">
        <v>0.67</v>
      </c>
    </row>
    <row r="40" spans="1:13" x14ac:dyDescent="0.3">
      <c r="A40" t="s">
        <v>146</v>
      </c>
      <c r="B40" t="s">
        <v>147</v>
      </c>
      <c r="C40" t="s">
        <v>73</v>
      </c>
      <c r="D40">
        <v>42</v>
      </c>
      <c r="E40" t="s">
        <v>148</v>
      </c>
      <c r="F40" t="s">
        <v>149</v>
      </c>
      <c r="G40" t="s">
        <v>22</v>
      </c>
      <c r="H40">
        <v>13</v>
      </c>
      <c r="I40" t="str" cm="1">
        <f t="array" ref="I40">_xlfn.IFS(H40&lt;=5, "0-5", H40&lt;=10, "6-10", H40&lt;=15, "11-15", H40&lt;=20, "16-20", H40&gt;20, "21+")</f>
        <v>11-15</v>
      </c>
      <c r="J40">
        <v>50</v>
      </c>
      <c r="K40">
        <v>3.2</v>
      </c>
      <c r="L40" t="s">
        <v>2086</v>
      </c>
    </row>
    <row r="41" spans="1:13" x14ac:dyDescent="0.3">
      <c r="A41" t="s">
        <v>150</v>
      </c>
      <c r="B41" t="s">
        <v>151</v>
      </c>
      <c r="C41" t="s">
        <v>93</v>
      </c>
      <c r="D41">
        <v>60</v>
      </c>
      <c r="E41" t="s">
        <v>81</v>
      </c>
      <c r="F41" t="s">
        <v>82</v>
      </c>
      <c r="G41" t="s">
        <v>34</v>
      </c>
      <c r="H41">
        <v>3</v>
      </c>
      <c r="I41" t="str" cm="1">
        <f t="array" ref="I41">_xlfn.IFS(H41&lt;=5, "0-5", H41&lt;=10, "6-10", H41&lt;=15, "11-15", H41&lt;=20, "16-20", H41&gt;20, "21+")</f>
        <v>0-5</v>
      </c>
      <c r="J41">
        <v>20</v>
      </c>
      <c r="K41">
        <v>3.6</v>
      </c>
      <c r="L41" t="s">
        <v>2085</v>
      </c>
      <c r="M41" s="1">
        <v>0.8</v>
      </c>
    </row>
    <row r="42" spans="1:13" x14ac:dyDescent="0.3">
      <c r="A42" t="s">
        <v>152</v>
      </c>
      <c r="B42" t="s">
        <v>153</v>
      </c>
      <c r="C42" t="s">
        <v>73</v>
      </c>
      <c r="D42">
        <v>59</v>
      </c>
      <c r="E42" t="s">
        <v>63</v>
      </c>
      <c r="F42" t="s">
        <v>21</v>
      </c>
      <c r="G42" t="s">
        <v>42</v>
      </c>
      <c r="H42">
        <v>0</v>
      </c>
      <c r="I42" t="str" cm="1">
        <f t="array" ref="I42">_xlfn.IFS(H42&lt;=5, "0-5", H42&lt;=10, "6-10", H42&lt;=15, "11-15", H42&lt;=20, "16-20", H42&gt;20, "21+")</f>
        <v>0-5</v>
      </c>
      <c r="J42">
        <v>50</v>
      </c>
      <c r="K42">
        <v>0</v>
      </c>
      <c r="L42" t="s">
        <v>2085</v>
      </c>
    </row>
    <row r="43" spans="1:13" x14ac:dyDescent="0.3">
      <c r="A43" t="s">
        <v>155</v>
      </c>
      <c r="B43" t="s">
        <v>156</v>
      </c>
      <c r="C43" t="s">
        <v>73</v>
      </c>
      <c r="D43">
        <v>21</v>
      </c>
      <c r="E43" t="s">
        <v>123</v>
      </c>
      <c r="F43" t="s">
        <v>21</v>
      </c>
      <c r="G43" t="s">
        <v>34</v>
      </c>
      <c r="H43">
        <v>10</v>
      </c>
      <c r="I43" t="str" cm="1">
        <f t="array" ref="I43">_xlfn.IFS(H43&lt;=5, "0-5", H43&lt;=10, "6-10", H43&lt;=15, "11-15", H43&lt;=20, "16-20", H43&gt;20, "21+")</f>
        <v>6-10</v>
      </c>
      <c r="J43">
        <v>30</v>
      </c>
      <c r="K43">
        <v>2.7</v>
      </c>
      <c r="L43" t="s">
        <v>2086</v>
      </c>
      <c r="M43" s="1">
        <v>0.84</v>
      </c>
    </row>
    <row r="44" spans="1:13" x14ac:dyDescent="0.3">
      <c r="A44" t="s">
        <v>157</v>
      </c>
      <c r="B44" t="s">
        <v>158</v>
      </c>
      <c r="C44" t="s">
        <v>73</v>
      </c>
      <c r="D44">
        <v>35</v>
      </c>
      <c r="E44" t="s">
        <v>27</v>
      </c>
      <c r="F44" t="s">
        <v>28</v>
      </c>
      <c r="G44" t="s">
        <v>85</v>
      </c>
      <c r="I44" t="str" cm="1">
        <f t="array" ref="I44">_xlfn.IFS(H44&lt;=5, "0-5", H44&lt;=10, "6-10", H44&lt;=15, "11-15", H44&lt;=20, "16-20", H44&gt;20, "21+")</f>
        <v>0-5</v>
      </c>
      <c r="J44">
        <v>50</v>
      </c>
      <c r="K44">
        <v>0</v>
      </c>
      <c r="L44" t="s">
        <v>2085</v>
      </c>
    </row>
    <row r="45" spans="1:13" x14ac:dyDescent="0.3">
      <c r="A45" t="s">
        <v>159</v>
      </c>
      <c r="B45" t="s">
        <v>160</v>
      </c>
      <c r="C45" t="s">
        <v>93</v>
      </c>
      <c r="D45">
        <v>41</v>
      </c>
      <c r="E45" t="s">
        <v>63</v>
      </c>
      <c r="F45" t="s">
        <v>21</v>
      </c>
      <c r="G45" t="s">
        <v>48</v>
      </c>
      <c r="H45">
        <v>23</v>
      </c>
      <c r="I45" t="str" cm="1">
        <f t="array" ref="I45">_xlfn.IFS(H45&lt;=5, "0-5", H45&lt;=10, "6-10", H45&lt;=15, "11-15", H45&lt;=20, "16-20", H45&gt;20, "21+")</f>
        <v>21+</v>
      </c>
      <c r="J45">
        <v>20</v>
      </c>
      <c r="K45">
        <v>2.8</v>
      </c>
      <c r="L45" t="s">
        <v>2086</v>
      </c>
      <c r="M45" s="1">
        <v>0.63</v>
      </c>
    </row>
    <row r="46" spans="1:13" x14ac:dyDescent="0.3">
      <c r="A46" t="s">
        <v>161</v>
      </c>
      <c r="B46" t="s">
        <v>162</v>
      </c>
      <c r="C46" t="s">
        <v>73</v>
      </c>
      <c r="D46">
        <v>51</v>
      </c>
      <c r="E46" t="s">
        <v>40</v>
      </c>
      <c r="F46" t="s">
        <v>41</v>
      </c>
      <c r="G46" t="s">
        <v>110</v>
      </c>
      <c r="H46">
        <v>9</v>
      </c>
      <c r="I46" t="str" cm="1">
        <f t="array" ref="I46">_xlfn.IFS(H46&lt;=5, "0-5", H46&lt;=10, "6-10", H46&lt;=15, "11-15", H46&lt;=20, "16-20", H46&gt;20, "21+")</f>
        <v>6-10</v>
      </c>
      <c r="J46">
        <v>20</v>
      </c>
      <c r="K46">
        <v>2.5</v>
      </c>
      <c r="L46" t="s">
        <v>2085</v>
      </c>
      <c r="M46" s="1">
        <v>0.8</v>
      </c>
    </row>
    <row r="47" spans="1:13" x14ac:dyDescent="0.3">
      <c r="A47" t="s">
        <v>163</v>
      </c>
      <c r="B47" t="s">
        <v>164</v>
      </c>
      <c r="C47" t="s">
        <v>93</v>
      </c>
      <c r="D47">
        <v>41</v>
      </c>
      <c r="E47" t="s">
        <v>148</v>
      </c>
      <c r="F47" t="s">
        <v>149</v>
      </c>
      <c r="G47" t="s">
        <v>34</v>
      </c>
      <c r="H47">
        <v>4</v>
      </c>
      <c r="I47" t="str" cm="1">
        <f t="array" ref="I47">_xlfn.IFS(H47&lt;=5, "0-5", H47&lt;=10, "6-10", H47&lt;=15, "11-15", H47&lt;=20, "16-20", H47&gt;20, "21+")</f>
        <v>0-5</v>
      </c>
      <c r="J47">
        <v>75</v>
      </c>
      <c r="K47">
        <v>4.9000000000000004</v>
      </c>
      <c r="L47" t="s">
        <v>2086</v>
      </c>
      <c r="M47" s="1">
        <v>0.74</v>
      </c>
    </row>
    <row r="48" spans="1:13" x14ac:dyDescent="0.3">
      <c r="A48" t="s">
        <v>165</v>
      </c>
      <c r="B48" t="s">
        <v>2088</v>
      </c>
      <c r="C48" t="s">
        <v>73</v>
      </c>
      <c r="D48">
        <v>47</v>
      </c>
      <c r="E48" t="s">
        <v>134</v>
      </c>
      <c r="F48" t="s">
        <v>135</v>
      </c>
      <c r="G48" t="s">
        <v>85</v>
      </c>
      <c r="H48">
        <v>7</v>
      </c>
      <c r="I48" t="str" cm="1">
        <f t="array" ref="I48">_xlfn.IFS(H48&lt;=5, "0-5", H48&lt;=10, "6-10", H48&lt;=15, "11-15", H48&lt;=20, "16-20", H48&gt;20, "21+")</f>
        <v>6-10</v>
      </c>
      <c r="J48">
        <v>30</v>
      </c>
      <c r="K48">
        <v>4.5</v>
      </c>
      <c r="L48" t="s">
        <v>2086</v>
      </c>
      <c r="M48" s="1">
        <v>0.85</v>
      </c>
    </row>
    <row r="49" spans="1:13" x14ac:dyDescent="0.3">
      <c r="A49" t="s">
        <v>167</v>
      </c>
      <c r="B49" t="s">
        <v>168</v>
      </c>
      <c r="C49" t="s">
        <v>93</v>
      </c>
      <c r="D49">
        <v>25</v>
      </c>
      <c r="E49" t="s">
        <v>169</v>
      </c>
      <c r="F49" t="s">
        <v>170</v>
      </c>
      <c r="G49" t="s">
        <v>29</v>
      </c>
      <c r="H49">
        <v>1</v>
      </c>
      <c r="I49" t="str" cm="1">
        <f t="array" ref="I49">_xlfn.IFS(H49&lt;=5, "0-5", H49&lt;=10, "6-10", H49&lt;=15, "11-15", H49&lt;=20, "16-20", H49&gt;20, "21+")</f>
        <v>0-5</v>
      </c>
      <c r="J49">
        <v>50</v>
      </c>
      <c r="K49">
        <v>2.7</v>
      </c>
      <c r="L49" t="s">
        <v>2085</v>
      </c>
      <c r="M49" s="1">
        <v>0.77</v>
      </c>
    </row>
    <row r="50" spans="1:13" x14ac:dyDescent="0.3">
      <c r="A50" t="s">
        <v>171</v>
      </c>
      <c r="B50" t="s">
        <v>172</v>
      </c>
      <c r="C50" t="s">
        <v>73</v>
      </c>
      <c r="D50">
        <v>25</v>
      </c>
      <c r="E50" t="s">
        <v>173</v>
      </c>
      <c r="F50" t="s">
        <v>68</v>
      </c>
      <c r="G50" t="s">
        <v>22</v>
      </c>
      <c r="H50">
        <v>0</v>
      </c>
      <c r="I50" t="str" cm="1">
        <f t="array" ref="I50">_xlfn.IFS(H50&lt;=5, "0-5", H50&lt;=10, "6-10", H50&lt;=15, "11-15", H50&lt;=20, "16-20", H50&gt;20, "21+")</f>
        <v>0-5</v>
      </c>
      <c r="J50">
        <v>20</v>
      </c>
      <c r="K50">
        <v>1.9</v>
      </c>
      <c r="L50" t="s">
        <v>2085</v>
      </c>
    </row>
    <row r="51" spans="1:13" x14ac:dyDescent="0.3">
      <c r="A51" t="s">
        <v>174</v>
      </c>
      <c r="B51" t="s">
        <v>175</v>
      </c>
      <c r="C51" t="s">
        <v>93</v>
      </c>
      <c r="D51">
        <v>29</v>
      </c>
      <c r="E51" t="s">
        <v>40</v>
      </c>
      <c r="F51" t="s">
        <v>41</v>
      </c>
      <c r="G51" t="s">
        <v>69</v>
      </c>
      <c r="H51">
        <v>8</v>
      </c>
      <c r="I51" t="str" cm="1">
        <f t="array" ref="I51">_xlfn.IFS(H51&lt;=5, "0-5", H51&lt;=10, "6-10", H51&lt;=15, "11-15", H51&lt;=20, "16-20", H51&gt;20, "21+")</f>
        <v>6-10</v>
      </c>
      <c r="J51">
        <v>20</v>
      </c>
      <c r="K51">
        <v>1.4</v>
      </c>
      <c r="L51" t="s">
        <v>2086</v>
      </c>
      <c r="M51" s="1">
        <v>0.63</v>
      </c>
    </row>
    <row r="52" spans="1:13" x14ac:dyDescent="0.3">
      <c r="A52" t="s">
        <v>176</v>
      </c>
      <c r="B52" t="s">
        <v>177</v>
      </c>
      <c r="C52" t="s">
        <v>73</v>
      </c>
      <c r="D52">
        <v>23</v>
      </c>
      <c r="E52" t="s">
        <v>67</v>
      </c>
      <c r="F52" t="s">
        <v>68</v>
      </c>
      <c r="G52" t="s">
        <v>74</v>
      </c>
      <c r="H52">
        <v>33</v>
      </c>
      <c r="I52" t="str" cm="1">
        <f t="array" ref="I52">_xlfn.IFS(H52&lt;=5, "0-5", H52&lt;=10, "6-10", H52&lt;=15, "11-15", H52&lt;=20, "16-20", H52&gt;20, "21+")</f>
        <v>21+</v>
      </c>
      <c r="J52">
        <v>75</v>
      </c>
      <c r="K52">
        <v>1.9</v>
      </c>
      <c r="L52" t="s">
        <v>2086</v>
      </c>
      <c r="M52" s="1">
        <v>0.79</v>
      </c>
    </row>
    <row r="53" spans="1:13" x14ac:dyDescent="0.3">
      <c r="A53" t="s">
        <v>178</v>
      </c>
      <c r="B53" t="s">
        <v>179</v>
      </c>
      <c r="C53" t="s">
        <v>93</v>
      </c>
      <c r="D53">
        <v>31</v>
      </c>
      <c r="E53" t="s">
        <v>130</v>
      </c>
      <c r="F53" t="s">
        <v>131</v>
      </c>
      <c r="G53" t="s">
        <v>48</v>
      </c>
      <c r="H53">
        <v>1</v>
      </c>
      <c r="I53" t="str" cm="1">
        <f t="array" ref="I53">_xlfn.IFS(H53&lt;=5, "0-5", H53&lt;=10, "6-10", H53&lt;=15, "11-15", H53&lt;=20, "16-20", H53&gt;20, "21+")</f>
        <v>0-5</v>
      </c>
      <c r="J53">
        <v>50</v>
      </c>
      <c r="K53">
        <v>3.4</v>
      </c>
      <c r="L53" t="s">
        <v>2085</v>
      </c>
    </row>
    <row r="54" spans="1:13" x14ac:dyDescent="0.3">
      <c r="A54" t="s">
        <v>180</v>
      </c>
      <c r="B54" t="s">
        <v>181</v>
      </c>
      <c r="C54" t="s">
        <v>93</v>
      </c>
      <c r="D54">
        <v>51</v>
      </c>
      <c r="E54" t="s">
        <v>27</v>
      </c>
      <c r="F54" t="s">
        <v>28</v>
      </c>
      <c r="G54" t="s">
        <v>110</v>
      </c>
      <c r="H54">
        <v>11</v>
      </c>
      <c r="I54" t="str" cm="1">
        <f t="array" ref="I54">_xlfn.IFS(H54&lt;=5, "0-5", H54&lt;=10, "6-10", H54&lt;=15, "11-15", H54&lt;=20, "16-20", H54&gt;20, "21+")</f>
        <v>11-15</v>
      </c>
      <c r="J54">
        <v>75</v>
      </c>
      <c r="K54">
        <v>3.3</v>
      </c>
      <c r="M54" s="1">
        <v>0.68</v>
      </c>
    </row>
    <row r="55" spans="1:13" x14ac:dyDescent="0.3">
      <c r="A55" t="s">
        <v>182</v>
      </c>
      <c r="B55" t="s">
        <v>183</v>
      </c>
      <c r="C55" t="s">
        <v>93</v>
      </c>
      <c r="E55" t="s">
        <v>184</v>
      </c>
      <c r="F55" t="s">
        <v>68</v>
      </c>
      <c r="G55" t="s">
        <v>69</v>
      </c>
      <c r="H55">
        <v>15</v>
      </c>
      <c r="I55" t="str" cm="1">
        <f t="array" ref="I55">_xlfn.IFS(H55&lt;=5, "0-5", H55&lt;=10, "6-10", H55&lt;=15, "11-15", H55&lt;=20, "16-20", H55&gt;20, "21+")</f>
        <v>11-15</v>
      </c>
      <c r="J55">
        <v>30</v>
      </c>
      <c r="K55">
        <v>0</v>
      </c>
      <c r="L55" t="s">
        <v>2085</v>
      </c>
      <c r="M55" s="1">
        <v>0.68</v>
      </c>
    </row>
    <row r="56" spans="1:13" x14ac:dyDescent="0.3">
      <c r="A56" t="s">
        <v>185</v>
      </c>
      <c r="B56" t="s">
        <v>186</v>
      </c>
      <c r="C56" t="s">
        <v>73</v>
      </c>
      <c r="D56">
        <v>29</v>
      </c>
      <c r="E56" t="s">
        <v>59</v>
      </c>
      <c r="F56" t="s">
        <v>60</v>
      </c>
      <c r="G56" t="s">
        <v>74</v>
      </c>
      <c r="H56">
        <v>8</v>
      </c>
      <c r="I56" t="str" cm="1">
        <f t="array" ref="I56">_xlfn.IFS(H56&lt;=5, "0-5", H56&lt;=10, "6-10", H56&lt;=15, "11-15", H56&lt;=20, "16-20", H56&gt;20, "21+")</f>
        <v>6-10</v>
      </c>
      <c r="J56">
        <v>100</v>
      </c>
      <c r="K56">
        <v>2.2999999999999998</v>
      </c>
      <c r="L56" t="s">
        <v>2086</v>
      </c>
      <c r="M56" s="1">
        <v>0.72</v>
      </c>
    </row>
    <row r="57" spans="1:13" x14ac:dyDescent="0.3">
      <c r="A57" t="s">
        <v>187</v>
      </c>
      <c r="B57" t="s">
        <v>188</v>
      </c>
      <c r="C57" t="s">
        <v>93</v>
      </c>
      <c r="D57">
        <v>50</v>
      </c>
      <c r="E57" t="s">
        <v>63</v>
      </c>
      <c r="F57" t="s">
        <v>21</v>
      </c>
      <c r="G57" t="s">
        <v>42</v>
      </c>
      <c r="H57">
        <v>17</v>
      </c>
      <c r="I57" t="str" cm="1">
        <f t="array" ref="I57">_xlfn.IFS(H57&lt;=5, "0-5", H57&lt;=10, "6-10", H57&lt;=15, "11-15", H57&lt;=20, "16-20", H57&gt;20, "21+")</f>
        <v>16-20</v>
      </c>
      <c r="K57">
        <v>2</v>
      </c>
      <c r="L57" t="s">
        <v>2086</v>
      </c>
      <c r="M57" s="1">
        <v>0.65</v>
      </c>
    </row>
    <row r="58" spans="1:13" x14ac:dyDescent="0.3">
      <c r="A58" t="s">
        <v>189</v>
      </c>
      <c r="B58" t="s">
        <v>190</v>
      </c>
      <c r="C58" t="s">
        <v>73</v>
      </c>
      <c r="D58">
        <v>26</v>
      </c>
      <c r="E58" t="s">
        <v>63</v>
      </c>
      <c r="F58" t="s">
        <v>21</v>
      </c>
      <c r="G58" t="s">
        <v>85</v>
      </c>
      <c r="I58" t="str" cm="1">
        <f t="array" ref="I58">_xlfn.IFS(H58&lt;=5, "0-5", H58&lt;=10, "6-10", H58&lt;=15, "11-15", H58&lt;=20, "16-20", H58&gt;20, "21+")</f>
        <v>0-5</v>
      </c>
      <c r="J58">
        <v>50</v>
      </c>
      <c r="K58">
        <v>1.3</v>
      </c>
      <c r="L58" t="s">
        <v>2085</v>
      </c>
      <c r="M58" s="1">
        <v>0.76</v>
      </c>
    </row>
    <row r="59" spans="1:13" x14ac:dyDescent="0.3">
      <c r="A59" t="s">
        <v>191</v>
      </c>
      <c r="B59" t="s">
        <v>192</v>
      </c>
      <c r="C59" t="s">
        <v>93</v>
      </c>
      <c r="D59">
        <v>38</v>
      </c>
      <c r="E59" t="s">
        <v>123</v>
      </c>
      <c r="F59" t="s">
        <v>21</v>
      </c>
      <c r="G59" t="s">
        <v>42</v>
      </c>
      <c r="H59">
        <v>28</v>
      </c>
      <c r="I59" t="str" cm="1">
        <f t="array" ref="I59">_xlfn.IFS(H59&lt;=5, "0-5", H59&lt;=10, "6-10", H59&lt;=15, "11-15", H59&lt;=20, "16-20", H59&gt;20, "21+")</f>
        <v>21+</v>
      </c>
      <c r="J59">
        <v>40</v>
      </c>
      <c r="K59">
        <v>4</v>
      </c>
      <c r="L59" t="s">
        <v>2086</v>
      </c>
      <c r="M59" s="1">
        <v>0.9</v>
      </c>
    </row>
    <row r="60" spans="1:13" x14ac:dyDescent="0.3">
      <c r="A60" t="s">
        <v>193</v>
      </c>
      <c r="B60" t="s">
        <v>194</v>
      </c>
      <c r="C60" t="s">
        <v>73</v>
      </c>
      <c r="D60">
        <v>23</v>
      </c>
      <c r="E60" t="s">
        <v>89</v>
      </c>
      <c r="F60" t="s">
        <v>90</v>
      </c>
      <c r="G60" t="s">
        <v>22</v>
      </c>
      <c r="H60">
        <v>33</v>
      </c>
      <c r="I60" t="str" cm="1">
        <f t="array" ref="I60">_xlfn.IFS(H60&lt;=5, "0-5", H60&lt;=10, "6-10", H60&lt;=15, "11-15", H60&lt;=20, "16-20", H60&gt;20, "21+")</f>
        <v>21+</v>
      </c>
      <c r="J60">
        <v>75</v>
      </c>
      <c r="K60">
        <v>3.6</v>
      </c>
      <c r="L60" t="s">
        <v>2086</v>
      </c>
      <c r="M60" s="1">
        <v>0.65</v>
      </c>
    </row>
    <row r="61" spans="1:13" x14ac:dyDescent="0.3">
      <c r="A61" t="s">
        <v>195</v>
      </c>
      <c r="B61" t="s">
        <v>196</v>
      </c>
      <c r="C61" t="s">
        <v>73</v>
      </c>
      <c r="D61">
        <v>51</v>
      </c>
      <c r="E61" t="s">
        <v>148</v>
      </c>
      <c r="F61" t="s">
        <v>149</v>
      </c>
      <c r="G61" t="s">
        <v>85</v>
      </c>
      <c r="H61">
        <v>18</v>
      </c>
      <c r="I61" t="str" cm="1">
        <f t="array" ref="I61">_xlfn.IFS(H61&lt;=5, "0-5", H61&lt;=10, "6-10", H61&lt;=15, "11-15", H61&lt;=20, "16-20", H61&gt;20, "21+")</f>
        <v>16-20</v>
      </c>
      <c r="J61">
        <v>40</v>
      </c>
      <c r="K61">
        <v>3.9</v>
      </c>
      <c r="L61" t="s">
        <v>2085</v>
      </c>
      <c r="M61" s="1">
        <v>0.63</v>
      </c>
    </row>
    <row r="62" spans="1:13" x14ac:dyDescent="0.3">
      <c r="A62" t="s">
        <v>197</v>
      </c>
      <c r="B62" t="s">
        <v>198</v>
      </c>
      <c r="C62" t="s">
        <v>73</v>
      </c>
      <c r="D62">
        <v>51</v>
      </c>
      <c r="E62" t="s">
        <v>46</v>
      </c>
      <c r="F62" t="s">
        <v>47</v>
      </c>
      <c r="G62" t="s">
        <v>42</v>
      </c>
      <c r="H62">
        <v>16</v>
      </c>
      <c r="I62" t="str" cm="1">
        <f t="array" ref="I62">_xlfn.IFS(H62&lt;=5, "0-5", H62&lt;=10, "6-10", H62&lt;=15, "11-15", H62&lt;=20, "16-20", H62&gt;20, "21+")</f>
        <v>16-20</v>
      </c>
      <c r="J62">
        <v>75</v>
      </c>
      <c r="K62">
        <v>0</v>
      </c>
      <c r="L62" t="s">
        <v>2086</v>
      </c>
    </row>
    <row r="63" spans="1:13" x14ac:dyDescent="0.3">
      <c r="A63" t="s">
        <v>199</v>
      </c>
      <c r="B63" t="s">
        <v>200</v>
      </c>
      <c r="C63" t="s">
        <v>93</v>
      </c>
      <c r="D63">
        <v>47</v>
      </c>
      <c r="E63" t="s">
        <v>27</v>
      </c>
      <c r="F63" t="s">
        <v>28</v>
      </c>
      <c r="G63" t="s">
        <v>42</v>
      </c>
      <c r="H63">
        <v>35</v>
      </c>
      <c r="I63" t="str" cm="1">
        <f t="array" ref="I63">_xlfn.IFS(H63&lt;=5, "0-5", H63&lt;=10, "6-10", H63&lt;=15, "11-15", H63&lt;=20, "16-20", H63&gt;20, "21+")</f>
        <v>21+</v>
      </c>
      <c r="J63">
        <v>75</v>
      </c>
      <c r="K63">
        <v>0</v>
      </c>
      <c r="L63" t="s">
        <v>2085</v>
      </c>
    </row>
    <row r="64" spans="1:13" x14ac:dyDescent="0.3">
      <c r="A64" t="s">
        <v>201</v>
      </c>
      <c r="B64" t="s">
        <v>202</v>
      </c>
      <c r="C64" t="s">
        <v>73</v>
      </c>
      <c r="D64">
        <v>34</v>
      </c>
      <c r="E64" t="s">
        <v>119</v>
      </c>
      <c r="F64" t="s">
        <v>120</v>
      </c>
      <c r="G64" t="s">
        <v>69</v>
      </c>
      <c r="H64">
        <v>14</v>
      </c>
      <c r="I64" t="str" cm="1">
        <f t="array" ref="I64">_xlfn.IFS(H64&lt;=5, "0-5", H64&lt;=10, "6-10", H64&lt;=15, "11-15", H64&lt;=20, "16-20", H64&gt;20, "21+")</f>
        <v>11-15</v>
      </c>
      <c r="J64">
        <v>20</v>
      </c>
      <c r="K64">
        <v>2.2999999999999998</v>
      </c>
      <c r="L64" t="s">
        <v>2086</v>
      </c>
      <c r="M64" s="1">
        <v>0.93</v>
      </c>
    </row>
    <row r="65" spans="1:13" x14ac:dyDescent="0.3">
      <c r="A65" t="s">
        <v>203</v>
      </c>
      <c r="B65" t="s">
        <v>204</v>
      </c>
      <c r="C65" t="s">
        <v>73</v>
      </c>
      <c r="D65">
        <v>58</v>
      </c>
      <c r="E65" t="s">
        <v>46</v>
      </c>
      <c r="F65" t="s">
        <v>47</v>
      </c>
      <c r="G65" t="s">
        <v>48</v>
      </c>
      <c r="H65">
        <v>12</v>
      </c>
      <c r="I65" t="str" cm="1">
        <f t="array" ref="I65">_xlfn.IFS(H65&lt;=5, "0-5", H65&lt;=10, "6-10", H65&lt;=15, "11-15", H65&lt;=20, "16-20", H65&gt;20, "21+")</f>
        <v>11-15</v>
      </c>
      <c r="J65">
        <v>50</v>
      </c>
      <c r="K65">
        <v>4.7</v>
      </c>
      <c r="L65" t="s">
        <v>2085</v>
      </c>
      <c r="M65" s="1">
        <v>0.7</v>
      </c>
    </row>
    <row r="66" spans="1:13" x14ac:dyDescent="0.3">
      <c r="A66" t="s">
        <v>205</v>
      </c>
      <c r="B66" t="s">
        <v>206</v>
      </c>
      <c r="C66" t="s">
        <v>73</v>
      </c>
      <c r="D66">
        <v>50</v>
      </c>
      <c r="E66" t="s">
        <v>119</v>
      </c>
      <c r="F66" t="s">
        <v>120</v>
      </c>
      <c r="G66" t="s">
        <v>42</v>
      </c>
      <c r="H66">
        <v>11</v>
      </c>
      <c r="I66" t="str" cm="1">
        <f t="array" ref="I66">_xlfn.IFS(H66&lt;=5, "0-5", H66&lt;=10, "6-10", H66&lt;=15, "11-15", H66&lt;=20, "16-20", H66&gt;20, "21+")</f>
        <v>11-15</v>
      </c>
      <c r="K66">
        <v>3.5</v>
      </c>
      <c r="L66" t="s">
        <v>2086</v>
      </c>
      <c r="M66" s="1">
        <v>0.83</v>
      </c>
    </row>
    <row r="67" spans="1:13" x14ac:dyDescent="0.3">
      <c r="A67" t="s">
        <v>207</v>
      </c>
      <c r="B67" t="s">
        <v>208</v>
      </c>
      <c r="C67" t="s">
        <v>73</v>
      </c>
      <c r="D67">
        <v>34</v>
      </c>
      <c r="E67" t="s">
        <v>184</v>
      </c>
      <c r="F67" t="s">
        <v>68</v>
      </c>
      <c r="G67" t="s">
        <v>34</v>
      </c>
      <c r="H67">
        <v>0</v>
      </c>
      <c r="I67" t="str" cm="1">
        <f t="array" ref="I67">_xlfn.IFS(H67&lt;=5, "0-5", H67&lt;=10, "6-10", H67&lt;=15, "11-15", H67&lt;=20, "16-20", H67&gt;20, "21+")</f>
        <v>0-5</v>
      </c>
      <c r="J67">
        <v>40</v>
      </c>
      <c r="K67">
        <v>2.4</v>
      </c>
      <c r="L67" t="s">
        <v>2086</v>
      </c>
      <c r="M67" s="1">
        <v>0.64</v>
      </c>
    </row>
    <row r="68" spans="1:13" x14ac:dyDescent="0.3">
      <c r="A68" t="s">
        <v>209</v>
      </c>
      <c r="B68" t="s">
        <v>210</v>
      </c>
      <c r="C68" t="s">
        <v>73</v>
      </c>
      <c r="D68">
        <v>45</v>
      </c>
      <c r="E68" t="s">
        <v>103</v>
      </c>
      <c r="F68" t="s">
        <v>104</v>
      </c>
      <c r="G68" t="s">
        <v>42</v>
      </c>
      <c r="H68">
        <v>6</v>
      </c>
      <c r="I68" t="str" cm="1">
        <f t="array" ref="I68">_xlfn.IFS(H68&lt;=5, "0-5", H68&lt;=10, "6-10", H68&lt;=15, "11-15", H68&lt;=20, "16-20", H68&gt;20, "21+")</f>
        <v>6-10</v>
      </c>
      <c r="J68">
        <v>75</v>
      </c>
      <c r="K68">
        <v>4</v>
      </c>
      <c r="L68" t="s">
        <v>2085</v>
      </c>
      <c r="M68" s="1">
        <v>1</v>
      </c>
    </row>
    <row r="69" spans="1:13" x14ac:dyDescent="0.3">
      <c r="A69" t="s">
        <v>211</v>
      </c>
      <c r="B69" t="s">
        <v>212</v>
      </c>
      <c r="C69" t="s">
        <v>73</v>
      </c>
      <c r="D69">
        <v>55</v>
      </c>
      <c r="E69" t="s">
        <v>103</v>
      </c>
      <c r="F69" t="s">
        <v>104</v>
      </c>
      <c r="G69" t="s">
        <v>34</v>
      </c>
      <c r="H69">
        <v>38</v>
      </c>
      <c r="I69" t="str" cm="1">
        <f t="array" ref="I69">_xlfn.IFS(H69&lt;=5, "0-5", H69&lt;=10, "6-10", H69&lt;=15, "11-15", H69&lt;=20, "16-20", H69&gt;20, "21+")</f>
        <v>21+</v>
      </c>
      <c r="J69">
        <v>40</v>
      </c>
      <c r="K69">
        <v>0</v>
      </c>
      <c r="L69" t="s">
        <v>2086</v>
      </c>
    </row>
    <row r="70" spans="1:13" x14ac:dyDescent="0.3">
      <c r="A70" t="s">
        <v>213</v>
      </c>
      <c r="B70" t="s">
        <v>214</v>
      </c>
      <c r="C70" t="s">
        <v>93</v>
      </c>
      <c r="E70" t="s">
        <v>67</v>
      </c>
      <c r="F70" t="s">
        <v>68</v>
      </c>
      <c r="G70" t="s">
        <v>69</v>
      </c>
      <c r="H70">
        <v>11</v>
      </c>
      <c r="I70" t="str" cm="1">
        <f t="array" ref="I70">_xlfn.IFS(H70&lt;=5, "0-5", H70&lt;=10, "6-10", H70&lt;=15, "11-15", H70&lt;=20, "16-20", H70&gt;20, "21+")</f>
        <v>11-15</v>
      </c>
      <c r="J70">
        <v>100</v>
      </c>
      <c r="K70">
        <v>1.5</v>
      </c>
      <c r="L70" t="s">
        <v>2085</v>
      </c>
    </row>
    <row r="71" spans="1:13" x14ac:dyDescent="0.3">
      <c r="A71" t="s">
        <v>215</v>
      </c>
      <c r="B71" t="s">
        <v>216</v>
      </c>
      <c r="C71" t="s">
        <v>73</v>
      </c>
      <c r="D71">
        <v>60</v>
      </c>
      <c r="E71" t="s">
        <v>169</v>
      </c>
      <c r="F71" t="s">
        <v>170</v>
      </c>
      <c r="G71" t="s">
        <v>69</v>
      </c>
      <c r="H71">
        <v>13</v>
      </c>
      <c r="I71" t="str" cm="1">
        <f t="array" ref="I71">_xlfn.IFS(H71&lt;=5, "0-5", H71&lt;=10, "6-10", H71&lt;=15, "11-15", H71&lt;=20, "16-20", H71&gt;20, "21+")</f>
        <v>11-15</v>
      </c>
      <c r="J71">
        <v>20</v>
      </c>
      <c r="K71">
        <v>2</v>
      </c>
      <c r="L71" t="s">
        <v>2085</v>
      </c>
      <c r="M71" s="1">
        <v>0.71</v>
      </c>
    </row>
    <row r="72" spans="1:13" x14ac:dyDescent="0.3">
      <c r="A72" t="s">
        <v>217</v>
      </c>
      <c r="B72" t="s">
        <v>218</v>
      </c>
      <c r="C72" t="s">
        <v>73</v>
      </c>
      <c r="D72">
        <v>33</v>
      </c>
      <c r="E72" t="s">
        <v>148</v>
      </c>
      <c r="F72" t="s">
        <v>149</v>
      </c>
      <c r="G72" t="s">
        <v>22</v>
      </c>
      <c r="H72">
        <v>9</v>
      </c>
      <c r="I72" t="str" cm="1">
        <f t="array" ref="I72">_xlfn.IFS(H72&lt;=5, "0-5", H72&lt;=10, "6-10", H72&lt;=15, "11-15", H72&lt;=20, "16-20", H72&gt;20, "21+")</f>
        <v>6-10</v>
      </c>
      <c r="L72" t="s">
        <v>2086</v>
      </c>
      <c r="M72" s="1">
        <v>0.84</v>
      </c>
    </row>
    <row r="73" spans="1:13" x14ac:dyDescent="0.3">
      <c r="A73" t="s">
        <v>219</v>
      </c>
      <c r="B73" t="s">
        <v>220</v>
      </c>
      <c r="C73" t="s">
        <v>93</v>
      </c>
      <c r="D73">
        <v>60</v>
      </c>
      <c r="E73" t="s">
        <v>14</v>
      </c>
      <c r="F73" t="s">
        <v>15</v>
      </c>
      <c r="G73" t="s">
        <v>85</v>
      </c>
      <c r="H73">
        <v>4</v>
      </c>
      <c r="I73" t="str" cm="1">
        <f t="array" ref="I73">_xlfn.IFS(H73&lt;=5, "0-5", H73&lt;=10, "6-10", H73&lt;=15, "11-15", H73&lt;=20, "16-20", H73&gt;20, "21+")</f>
        <v>0-5</v>
      </c>
      <c r="J73">
        <v>50</v>
      </c>
      <c r="K73">
        <v>1</v>
      </c>
      <c r="L73" t="s">
        <v>2085</v>
      </c>
    </row>
    <row r="74" spans="1:13" x14ac:dyDescent="0.3">
      <c r="A74" t="s">
        <v>221</v>
      </c>
      <c r="B74" t="s">
        <v>222</v>
      </c>
      <c r="C74" t="s">
        <v>93</v>
      </c>
      <c r="D74">
        <v>40</v>
      </c>
      <c r="E74" t="s">
        <v>55</v>
      </c>
      <c r="F74" t="s">
        <v>21</v>
      </c>
      <c r="G74" t="s">
        <v>34</v>
      </c>
      <c r="H74">
        <v>14</v>
      </c>
      <c r="I74" t="str" cm="1">
        <f t="array" ref="I74">_xlfn.IFS(H74&lt;=5, "0-5", H74&lt;=10, "6-10", H74&lt;=15, "11-15", H74&lt;=20, "16-20", H74&gt;20, "21+")</f>
        <v>11-15</v>
      </c>
      <c r="J74">
        <v>100</v>
      </c>
      <c r="K74">
        <v>4.5</v>
      </c>
      <c r="L74" t="s">
        <v>2086</v>
      </c>
      <c r="M74" s="1">
        <v>0.69</v>
      </c>
    </row>
    <row r="75" spans="1:13" x14ac:dyDescent="0.3">
      <c r="A75" t="s">
        <v>223</v>
      </c>
      <c r="B75" t="s">
        <v>224</v>
      </c>
      <c r="C75" t="s">
        <v>93</v>
      </c>
      <c r="D75">
        <v>59</v>
      </c>
      <c r="E75" t="s">
        <v>20</v>
      </c>
      <c r="F75" t="s">
        <v>21</v>
      </c>
      <c r="G75" t="s">
        <v>16</v>
      </c>
      <c r="I75" t="str" cm="1">
        <f t="array" ref="I75">_xlfn.IFS(H75&lt;=5, "0-5", H75&lt;=10, "6-10", H75&lt;=15, "11-15", H75&lt;=20, "16-20", H75&gt;20, "21+")</f>
        <v>0-5</v>
      </c>
      <c r="K75">
        <v>1.9</v>
      </c>
      <c r="L75" t="s">
        <v>2085</v>
      </c>
      <c r="M75" s="1">
        <v>0.88</v>
      </c>
    </row>
    <row r="76" spans="1:13" x14ac:dyDescent="0.3">
      <c r="A76" t="s">
        <v>225</v>
      </c>
      <c r="B76" t="s">
        <v>226</v>
      </c>
      <c r="C76" t="s">
        <v>93</v>
      </c>
      <c r="D76">
        <v>36</v>
      </c>
      <c r="E76" t="s">
        <v>14</v>
      </c>
      <c r="F76" t="s">
        <v>15</v>
      </c>
      <c r="G76" t="s">
        <v>110</v>
      </c>
      <c r="H76">
        <v>9</v>
      </c>
      <c r="I76" t="str" cm="1">
        <f t="array" ref="I76">_xlfn.IFS(H76&lt;=5, "0-5", H76&lt;=10, "6-10", H76&lt;=15, "11-15", H76&lt;=20, "16-20", H76&gt;20, "21+")</f>
        <v>6-10</v>
      </c>
      <c r="J76">
        <v>100</v>
      </c>
      <c r="K76">
        <v>3.7</v>
      </c>
      <c r="L76" t="s">
        <v>2085</v>
      </c>
    </row>
    <row r="77" spans="1:13" x14ac:dyDescent="0.3">
      <c r="A77" t="s">
        <v>227</v>
      </c>
      <c r="B77" t="s">
        <v>228</v>
      </c>
      <c r="C77" t="s">
        <v>93</v>
      </c>
      <c r="D77">
        <v>32</v>
      </c>
      <c r="E77" t="s">
        <v>89</v>
      </c>
      <c r="F77" t="s">
        <v>90</v>
      </c>
      <c r="G77" t="s">
        <v>48</v>
      </c>
      <c r="H77">
        <v>32</v>
      </c>
      <c r="I77" t="str" cm="1">
        <f t="array" ref="I77">_xlfn.IFS(H77&lt;=5, "0-5", H77&lt;=10, "6-10", H77&lt;=15, "11-15", H77&lt;=20, "16-20", H77&gt;20, "21+")</f>
        <v>21+</v>
      </c>
      <c r="J77">
        <v>30</v>
      </c>
      <c r="K77">
        <v>1.9</v>
      </c>
      <c r="L77" t="s">
        <v>2086</v>
      </c>
      <c r="M77" s="1">
        <v>0.96</v>
      </c>
    </row>
    <row r="78" spans="1:13" x14ac:dyDescent="0.3">
      <c r="A78" t="s">
        <v>229</v>
      </c>
      <c r="B78" t="s">
        <v>230</v>
      </c>
      <c r="C78" t="s">
        <v>93</v>
      </c>
      <c r="D78">
        <v>59</v>
      </c>
      <c r="E78" t="s">
        <v>20</v>
      </c>
      <c r="F78" t="s">
        <v>21</v>
      </c>
      <c r="G78" t="s">
        <v>42</v>
      </c>
      <c r="H78">
        <v>9</v>
      </c>
      <c r="I78" t="str" cm="1">
        <f t="array" ref="I78">_xlfn.IFS(H78&lt;=5, "0-5", H78&lt;=10, "6-10", H78&lt;=15, "11-15", H78&lt;=20, "16-20", H78&gt;20, "21+")</f>
        <v>6-10</v>
      </c>
      <c r="J78">
        <v>75</v>
      </c>
      <c r="K78">
        <v>4</v>
      </c>
      <c r="L78" t="s">
        <v>2086</v>
      </c>
      <c r="M78" s="1">
        <v>0.96</v>
      </c>
    </row>
    <row r="79" spans="1:13" x14ac:dyDescent="0.3">
      <c r="A79" t="s">
        <v>231</v>
      </c>
      <c r="B79" t="s">
        <v>232</v>
      </c>
      <c r="C79" t="s">
        <v>73</v>
      </c>
      <c r="D79">
        <v>54</v>
      </c>
      <c r="E79" t="s">
        <v>184</v>
      </c>
      <c r="F79" t="s">
        <v>68</v>
      </c>
      <c r="G79" t="s">
        <v>85</v>
      </c>
      <c r="H79">
        <v>21</v>
      </c>
      <c r="I79" t="str" cm="1">
        <f t="array" ref="I79">_xlfn.IFS(H79&lt;=5, "0-5", H79&lt;=10, "6-10", H79&lt;=15, "11-15", H79&lt;=20, "16-20", H79&gt;20, "21+")</f>
        <v>21+</v>
      </c>
      <c r="J79">
        <v>40</v>
      </c>
      <c r="K79">
        <v>1.8</v>
      </c>
      <c r="L79" t="s">
        <v>2085</v>
      </c>
    </row>
    <row r="80" spans="1:13" x14ac:dyDescent="0.3">
      <c r="A80" t="s">
        <v>233</v>
      </c>
      <c r="B80" t="s">
        <v>234</v>
      </c>
      <c r="C80" t="s">
        <v>73</v>
      </c>
      <c r="D80">
        <v>37</v>
      </c>
      <c r="E80" t="s">
        <v>123</v>
      </c>
      <c r="F80" t="s">
        <v>21</v>
      </c>
      <c r="G80" t="s">
        <v>29</v>
      </c>
      <c r="H80">
        <v>12</v>
      </c>
      <c r="I80" t="str" cm="1">
        <f t="array" ref="I80">_xlfn.IFS(H80&lt;=5, "0-5", H80&lt;=10, "6-10", H80&lt;=15, "11-15", H80&lt;=20, "16-20", H80&gt;20, "21+")</f>
        <v>11-15</v>
      </c>
      <c r="K80">
        <v>0</v>
      </c>
      <c r="L80" t="s">
        <v>2086</v>
      </c>
      <c r="M80" s="1">
        <v>0.89</v>
      </c>
    </row>
    <row r="81" spans="1:13" x14ac:dyDescent="0.3">
      <c r="A81" t="s">
        <v>235</v>
      </c>
      <c r="B81" t="s">
        <v>236</v>
      </c>
      <c r="C81" t="s">
        <v>93</v>
      </c>
      <c r="D81">
        <v>54</v>
      </c>
      <c r="E81" t="s">
        <v>89</v>
      </c>
      <c r="F81" t="s">
        <v>90</v>
      </c>
      <c r="G81" t="s">
        <v>110</v>
      </c>
      <c r="H81">
        <v>7</v>
      </c>
      <c r="I81" t="str" cm="1">
        <f t="array" ref="I81">_xlfn.IFS(H81&lt;=5, "0-5", H81&lt;=10, "6-10", H81&lt;=15, "11-15", H81&lt;=20, "16-20", H81&gt;20, "21+")</f>
        <v>6-10</v>
      </c>
      <c r="J81">
        <v>100</v>
      </c>
      <c r="K81">
        <v>4.5999999999999996</v>
      </c>
      <c r="L81" t="s">
        <v>2085</v>
      </c>
    </row>
    <row r="82" spans="1:13" x14ac:dyDescent="0.3">
      <c r="A82" t="s">
        <v>237</v>
      </c>
      <c r="B82" t="s">
        <v>238</v>
      </c>
      <c r="C82" t="s">
        <v>73</v>
      </c>
      <c r="D82">
        <v>33</v>
      </c>
      <c r="E82" t="s">
        <v>67</v>
      </c>
      <c r="F82" t="s">
        <v>68</v>
      </c>
      <c r="G82" t="s">
        <v>69</v>
      </c>
      <c r="H82">
        <v>3</v>
      </c>
      <c r="I82" t="str" cm="1">
        <f t="array" ref="I82">_xlfn.IFS(H82&lt;=5, "0-5", H82&lt;=10, "6-10", H82&lt;=15, "11-15", H82&lt;=20, "16-20", H82&gt;20, "21+")</f>
        <v>0-5</v>
      </c>
      <c r="J82">
        <v>100</v>
      </c>
      <c r="K82">
        <v>3.6</v>
      </c>
      <c r="L82" t="s">
        <v>2085</v>
      </c>
      <c r="M82" s="1">
        <v>0.63</v>
      </c>
    </row>
    <row r="83" spans="1:13" x14ac:dyDescent="0.3">
      <c r="A83" t="s">
        <v>239</v>
      </c>
      <c r="B83" t="s">
        <v>240</v>
      </c>
      <c r="C83" t="s">
        <v>73</v>
      </c>
      <c r="D83">
        <v>25</v>
      </c>
      <c r="E83" t="s">
        <v>134</v>
      </c>
      <c r="F83" t="s">
        <v>135</v>
      </c>
      <c r="G83" t="s">
        <v>34</v>
      </c>
      <c r="H83">
        <v>5</v>
      </c>
      <c r="I83" t="str" cm="1">
        <f t="array" ref="I83">_xlfn.IFS(H83&lt;=5, "0-5", H83&lt;=10, "6-10", H83&lt;=15, "11-15", H83&lt;=20, "16-20", H83&gt;20, "21+")</f>
        <v>0-5</v>
      </c>
      <c r="J83">
        <v>40</v>
      </c>
      <c r="K83">
        <v>4.4000000000000004</v>
      </c>
      <c r="M83" s="1">
        <v>0.81</v>
      </c>
    </row>
    <row r="84" spans="1:13" x14ac:dyDescent="0.3">
      <c r="A84" t="s">
        <v>241</v>
      </c>
      <c r="B84" t="s">
        <v>242</v>
      </c>
      <c r="C84" t="s">
        <v>93</v>
      </c>
      <c r="E84" t="s">
        <v>169</v>
      </c>
      <c r="F84" t="s">
        <v>170</v>
      </c>
      <c r="G84" t="s">
        <v>85</v>
      </c>
      <c r="H84">
        <v>30</v>
      </c>
      <c r="I84" t="str" cm="1">
        <f t="array" ref="I84">_xlfn.IFS(H84&lt;=5, "0-5", H84&lt;=10, "6-10", H84&lt;=15, "11-15", H84&lt;=20, "16-20", H84&gt;20, "21+")</f>
        <v>21+</v>
      </c>
      <c r="J84">
        <v>40</v>
      </c>
      <c r="K84">
        <v>4.5999999999999996</v>
      </c>
      <c r="L84" t="s">
        <v>2085</v>
      </c>
      <c r="M84" s="1">
        <v>0.74</v>
      </c>
    </row>
    <row r="85" spans="1:13" x14ac:dyDescent="0.3">
      <c r="A85" t="s">
        <v>243</v>
      </c>
      <c r="B85" t="s">
        <v>244</v>
      </c>
      <c r="C85" t="s">
        <v>93</v>
      </c>
      <c r="D85">
        <v>35</v>
      </c>
      <c r="E85" t="s">
        <v>108</v>
      </c>
      <c r="F85" t="s">
        <v>109</v>
      </c>
      <c r="G85" t="s">
        <v>34</v>
      </c>
      <c r="H85">
        <v>2</v>
      </c>
      <c r="I85" t="str" cm="1">
        <f t="array" ref="I85">_xlfn.IFS(H85&lt;=5, "0-5", H85&lt;=10, "6-10", H85&lt;=15, "11-15", H85&lt;=20, "16-20", H85&gt;20, "21+")</f>
        <v>0-5</v>
      </c>
      <c r="J85">
        <v>75</v>
      </c>
      <c r="K85">
        <v>3.2</v>
      </c>
      <c r="L85" t="s">
        <v>2085</v>
      </c>
      <c r="M85" s="1">
        <v>0.72</v>
      </c>
    </row>
    <row r="86" spans="1:13" x14ac:dyDescent="0.3">
      <c r="A86" t="s">
        <v>245</v>
      </c>
      <c r="B86" t="s">
        <v>246</v>
      </c>
      <c r="C86" t="s">
        <v>93</v>
      </c>
      <c r="D86">
        <v>59</v>
      </c>
      <c r="E86" t="s">
        <v>108</v>
      </c>
      <c r="F86" t="s">
        <v>109</v>
      </c>
      <c r="G86" t="s">
        <v>42</v>
      </c>
      <c r="H86">
        <v>2</v>
      </c>
      <c r="I86" t="str" cm="1">
        <f t="array" ref="I86">_xlfn.IFS(H86&lt;=5, "0-5", H86&lt;=10, "6-10", H86&lt;=15, "11-15", H86&lt;=20, "16-20", H86&gt;20, "21+")</f>
        <v>0-5</v>
      </c>
      <c r="J86">
        <v>40</v>
      </c>
      <c r="K86">
        <v>0</v>
      </c>
      <c r="L86" t="s">
        <v>2086</v>
      </c>
    </row>
    <row r="87" spans="1:13" x14ac:dyDescent="0.3">
      <c r="A87" t="s">
        <v>247</v>
      </c>
      <c r="B87" t="s">
        <v>248</v>
      </c>
      <c r="C87" t="s">
        <v>73</v>
      </c>
      <c r="D87">
        <v>21</v>
      </c>
      <c r="E87" t="s">
        <v>169</v>
      </c>
      <c r="F87" t="s">
        <v>170</v>
      </c>
      <c r="G87" t="s">
        <v>85</v>
      </c>
      <c r="H87">
        <v>19</v>
      </c>
      <c r="I87" t="str" cm="1">
        <f t="array" ref="I87">_xlfn.IFS(H87&lt;=5, "0-5", H87&lt;=10, "6-10", H87&lt;=15, "11-15", H87&lt;=20, "16-20", H87&gt;20, "21+")</f>
        <v>16-20</v>
      </c>
      <c r="J87">
        <v>100</v>
      </c>
      <c r="K87">
        <v>2.6</v>
      </c>
      <c r="L87" t="s">
        <v>2086</v>
      </c>
      <c r="M87" s="1">
        <v>0.85</v>
      </c>
    </row>
    <row r="88" spans="1:13" x14ac:dyDescent="0.3">
      <c r="A88" t="s">
        <v>249</v>
      </c>
      <c r="B88" t="s">
        <v>250</v>
      </c>
      <c r="C88" t="s">
        <v>93</v>
      </c>
      <c r="D88">
        <v>25</v>
      </c>
      <c r="E88" t="s">
        <v>55</v>
      </c>
      <c r="F88" t="s">
        <v>21</v>
      </c>
      <c r="G88" t="s">
        <v>22</v>
      </c>
      <c r="H88">
        <v>16</v>
      </c>
      <c r="I88" t="str" cm="1">
        <f t="array" ref="I88">_xlfn.IFS(H88&lt;=5, "0-5", H88&lt;=10, "6-10", H88&lt;=15, "11-15", H88&lt;=20, "16-20", H88&gt;20, "21+")</f>
        <v>16-20</v>
      </c>
      <c r="J88">
        <v>75</v>
      </c>
      <c r="K88">
        <v>3.7</v>
      </c>
      <c r="L88" t="s">
        <v>2085</v>
      </c>
    </row>
    <row r="89" spans="1:13" x14ac:dyDescent="0.3">
      <c r="A89" t="s">
        <v>251</v>
      </c>
      <c r="B89" t="s">
        <v>252</v>
      </c>
      <c r="C89" t="s">
        <v>73</v>
      </c>
      <c r="D89">
        <v>38</v>
      </c>
      <c r="E89" t="s">
        <v>173</v>
      </c>
      <c r="F89" t="s">
        <v>68</v>
      </c>
      <c r="G89" t="s">
        <v>34</v>
      </c>
      <c r="H89">
        <v>10</v>
      </c>
      <c r="I89" t="str" cm="1">
        <f t="array" ref="I89">_xlfn.IFS(H89&lt;=5, "0-5", H89&lt;=10, "6-10", H89&lt;=15, "11-15", H89&lt;=20, "16-20", H89&gt;20, "21+")</f>
        <v>6-10</v>
      </c>
      <c r="J89">
        <v>75</v>
      </c>
      <c r="K89">
        <v>2.2999999999999998</v>
      </c>
      <c r="L89" t="s">
        <v>2085</v>
      </c>
      <c r="M89" s="1">
        <v>0.61</v>
      </c>
    </row>
    <row r="90" spans="1:13" x14ac:dyDescent="0.3">
      <c r="A90" t="s">
        <v>253</v>
      </c>
      <c r="B90" t="s">
        <v>254</v>
      </c>
      <c r="C90" t="s">
        <v>93</v>
      </c>
      <c r="D90">
        <v>57</v>
      </c>
      <c r="E90" t="s">
        <v>119</v>
      </c>
      <c r="F90" t="s">
        <v>120</v>
      </c>
      <c r="G90" t="s">
        <v>42</v>
      </c>
      <c r="H90">
        <v>2</v>
      </c>
      <c r="I90" t="str" cm="1">
        <f t="array" ref="I90">_xlfn.IFS(H90&lt;=5, "0-5", H90&lt;=10, "6-10", H90&lt;=15, "11-15", H90&lt;=20, "16-20", H90&gt;20, "21+")</f>
        <v>0-5</v>
      </c>
      <c r="J90">
        <v>100</v>
      </c>
      <c r="K90">
        <v>3.1</v>
      </c>
      <c r="L90" t="s">
        <v>2085</v>
      </c>
    </row>
    <row r="91" spans="1:13" x14ac:dyDescent="0.3">
      <c r="A91" t="s">
        <v>255</v>
      </c>
      <c r="B91" t="s">
        <v>256</v>
      </c>
      <c r="C91" t="s">
        <v>93</v>
      </c>
      <c r="D91">
        <v>32</v>
      </c>
      <c r="E91" t="s">
        <v>89</v>
      </c>
      <c r="F91" t="s">
        <v>90</v>
      </c>
      <c r="G91" t="s">
        <v>22</v>
      </c>
      <c r="H91">
        <v>18</v>
      </c>
      <c r="I91" t="str" cm="1">
        <f t="array" ref="I91">_xlfn.IFS(H91&lt;=5, "0-5", H91&lt;=10, "6-10", H91&lt;=15, "11-15", H91&lt;=20, "16-20", H91&gt;20, "21+")</f>
        <v>16-20</v>
      </c>
      <c r="J91">
        <v>20</v>
      </c>
      <c r="K91">
        <v>2.4</v>
      </c>
      <c r="L91" t="s">
        <v>2085</v>
      </c>
      <c r="M91" s="1">
        <v>0.86</v>
      </c>
    </row>
    <row r="92" spans="1:13" x14ac:dyDescent="0.3">
      <c r="A92" t="s">
        <v>257</v>
      </c>
      <c r="B92" t="s">
        <v>258</v>
      </c>
      <c r="C92" t="s">
        <v>93</v>
      </c>
      <c r="D92">
        <v>21</v>
      </c>
      <c r="E92" t="s">
        <v>14</v>
      </c>
      <c r="F92" t="s">
        <v>15</v>
      </c>
      <c r="G92" t="s">
        <v>85</v>
      </c>
      <c r="H92">
        <v>21</v>
      </c>
      <c r="I92" t="str" cm="1">
        <f t="array" ref="I92">_xlfn.IFS(H92&lt;=5, "0-5", H92&lt;=10, "6-10", H92&lt;=15, "11-15", H92&lt;=20, "16-20", H92&gt;20, "21+")</f>
        <v>21+</v>
      </c>
      <c r="J92">
        <v>100</v>
      </c>
      <c r="K92">
        <v>1.6</v>
      </c>
      <c r="L92" t="s">
        <v>2086</v>
      </c>
      <c r="M92" s="1">
        <v>0.97</v>
      </c>
    </row>
    <row r="93" spans="1:13" x14ac:dyDescent="0.3">
      <c r="A93" t="s">
        <v>259</v>
      </c>
      <c r="B93" t="s">
        <v>260</v>
      </c>
      <c r="C93" t="s">
        <v>73</v>
      </c>
      <c r="D93">
        <v>57</v>
      </c>
      <c r="E93" t="s">
        <v>123</v>
      </c>
      <c r="F93" t="s">
        <v>21</v>
      </c>
      <c r="G93" t="s">
        <v>74</v>
      </c>
      <c r="H93">
        <v>3</v>
      </c>
      <c r="I93" t="str" cm="1">
        <f t="array" ref="I93">_xlfn.IFS(H93&lt;=5, "0-5", H93&lt;=10, "6-10", H93&lt;=15, "11-15", H93&lt;=20, "16-20", H93&gt;20, "21+")</f>
        <v>0-5</v>
      </c>
      <c r="J93">
        <v>50</v>
      </c>
      <c r="K93">
        <v>2.4</v>
      </c>
      <c r="L93" t="s">
        <v>2086</v>
      </c>
      <c r="M93" s="1">
        <v>0.63</v>
      </c>
    </row>
    <row r="94" spans="1:13" x14ac:dyDescent="0.3">
      <c r="A94" t="s">
        <v>261</v>
      </c>
      <c r="B94" t="s">
        <v>262</v>
      </c>
      <c r="C94" t="s">
        <v>93</v>
      </c>
      <c r="D94">
        <v>53</v>
      </c>
      <c r="E94" t="s">
        <v>169</v>
      </c>
      <c r="F94" t="s">
        <v>170</v>
      </c>
      <c r="G94" t="s">
        <v>69</v>
      </c>
      <c r="H94">
        <v>17</v>
      </c>
      <c r="I94" t="str" cm="1">
        <f t="array" ref="I94">_xlfn.IFS(H94&lt;=5, "0-5", H94&lt;=10, "6-10", H94&lt;=15, "11-15", H94&lt;=20, "16-20", H94&gt;20, "21+")</f>
        <v>16-20</v>
      </c>
      <c r="J94">
        <v>100</v>
      </c>
      <c r="L94" t="s">
        <v>2086</v>
      </c>
      <c r="M94" s="1">
        <v>0.97</v>
      </c>
    </row>
    <row r="95" spans="1:13" x14ac:dyDescent="0.3">
      <c r="A95" t="s">
        <v>263</v>
      </c>
      <c r="B95" t="s">
        <v>264</v>
      </c>
      <c r="C95" t="s">
        <v>93</v>
      </c>
      <c r="D95">
        <v>35</v>
      </c>
      <c r="E95" t="s">
        <v>119</v>
      </c>
      <c r="F95" t="s">
        <v>120</v>
      </c>
      <c r="G95" t="s">
        <v>16</v>
      </c>
      <c r="H95">
        <v>0</v>
      </c>
      <c r="I95" t="str" cm="1">
        <f t="array" ref="I95">_xlfn.IFS(H95&lt;=5, "0-5", H95&lt;=10, "6-10", H95&lt;=15, "11-15", H95&lt;=20, "16-20", H95&gt;20, "21+")</f>
        <v>0-5</v>
      </c>
      <c r="J95">
        <v>30</v>
      </c>
      <c r="K95">
        <v>3.8</v>
      </c>
      <c r="L95" t="s">
        <v>2086</v>
      </c>
      <c r="M95" s="1">
        <v>0.81</v>
      </c>
    </row>
    <row r="96" spans="1:13" x14ac:dyDescent="0.3">
      <c r="A96" t="s">
        <v>265</v>
      </c>
      <c r="B96" t="s">
        <v>266</v>
      </c>
      <c r="C96" t="s">
        <v>73</v>
      </c>
      <c r="D96">
        <v>54</v>
      </c>
      <c r="E96" t="s">
        <v>169</v>
      </c>
      <c r="F96" t="s">
        <v>170</v>
      </c>
      <c r="G96" t="s">
        <v>110</v>
      </c>
      <c r="H96">
        <v>25</v>
      </c>
      <c r="I96" t="str" cm="1">
        <f t="array" ref="I96">_xlfn.IFS(H96&lt;=5, "0-5", H96&lt;=10, "6-10", H96&lt;=15, "11-15", H96&lt;=20, "16-20", H96&gt;20, "21+")</f>
        <v>21+</v>
      </c>
      <c r="J96">
        <v>20</v>
      </c>
      <c r="K96">
        <v>1.7</v>
      </c>
      <c r="L96" t="s">
        <v>2085</v>
      </c>
      <c r="M96" s="1">
        <v>0.69</v>
      </c>
    </row>
    <row r="97" spans="1:13" x14ac:dyDescent="0.3">
      <c r="A97" t="s">
        <v>267</v>
      </c>
      <c r="B97" t="s">
        <v>268</v>
      </c>
      <c r="C97" t="s">
        <v>73</v>
      </c>
      <c r="D97">
        <v>36</v>
      </c>
      <c r="E97" t="s">
        <v>14</v>
      </c>
      <c r="F97" t="s">
        <v>15</v>
      </c>
      <c r="G97" t="s">
        <v>69</v>
      </c>
      <c r="H97">
        <v>17</v>
      </c>
      <c r="I97" t="str" cm="1">
        <f t="array" ref="I97">_xlfn.IFS(H97&lt;=5, "0-5", H97&lt;=10, "6-10", H97&lt;=15, "11-15", H97&lt;=20, "16-20", H97&gt;20, "21+")</f>
        <v>16-20</v>
      </c>
      <c r="J97">
        <v>20</v>
      </c>
      <c r="K97">
        <v>1.3</v>
      </c>
      <c r="L97" t="s">
        <v>2086</v>
      </c>
      <c r="M97" s="1">
        <v>0.64</v>
      </c>
    </row>
    <row r="98" spans="1:13" x14ac:dyDescent="0.3">
      <c r="A98" t="s">
        <v>269</v>
      </c>
      <c r="B98" t="s">
        <v>270</v>
      </c>
      <c r="C98" t="s">
        <v>73</v>
      </c>
      <c r="D98">
        <v>49</v>
      </c>
      <c r="E98" t="s">
        <v>184</v>
      </c>
      <c r="F98" t="s">
        <v>68</v>
      </c>
      <c r="G98" t="s">
        <v>74</v>
      </c>
      <c r="H98">
        <v>5</v>
      </c>
      <c r="I98" t="str" cm="1">
        <f t="array" ref="I98">_xlfn.IFS(H98&lt;=5, "0-5", H98&lt;=10, "6-10", H98&lt;=15, "11-15", H98&lt;=20, "16-20", H98&gt;20, "21+")</f>
        <v>0-5</v>
      </c>
      <c r="J98">
        <v>50</v>
      </c>
      <c r="K98">
        <v>5</v>
      </c>
      <c r="L98" t="s">
        <v>2085</v>
      </c>
      <c r="M98" s="1">
        <v>0.77</v>
      </c>
    </row>
    <row r="99" spans="1:13" x14ac:dyDescent="0.3">
      <c r="A99" t="s">
        <v>271</v>
      </c>
      <c r="B99" t="s">
        <v>272</v>
      </c>
      <c r="C99" t="s">
        <v>93</v>
      </c>
      <c r="D99">
        <v>37</v>
      </c>
      <c r="E99" t="s">
        <v>55</v>
      </c>
      <c r="F99" t="s">
        <v>21</v>
      </c>
      <c r="G99" t="s">
        <v>16</v>
      </c>
      <c r="H99">
        <v>10</v>
      </c>
      <c r="I99" t="str" cm="1">
        <f t="array" ref="I99">_xlfn.IFS(H99&lt;=5, "0-5", H99&lt;=10, "6-10", H99&lt;=15, "11-15", H99&lt;=20, "16-20", H99&gt;20, "21+")</f>
        <v>6-10</v>
      </c>
      <c r="J99">
        <v>20</v>
      </c>
      <c r="K99">
        <v>3.3</v>
      </c>
      <c r="L99" t="s">
        <v>2085</v>
      </c>
      <c r="M99" s="1">
        <v>0.96</v>
      </c>
    </row>
    <row r="100" spans="1:13" x14ac:dyDescent="0.3">
      <c r="A100" t="s">
        <v>273</v>
      </c>
      <c r="B100" t="s">
        <v>274</v>
      </c>
      <c r="C100" t="s">
        <v>93</v>
      </c>
      <c r="E100" t="s">
        <v>55</v>
      </c>
      <c r="F100" t="s">
        <v>21</v>
      </c>
      <c r="G100" t="s">
        <v>69</v>
      </c>
      <c r="H100">
        <v>0</v>
      </c>
      <c r="I100" t="str" cm="1">
        <f t="array" ref="I100">_xlfn.IFS(H100&lt;=5, "0-5", H100&lt;=10, "6-10", H100&lt;=15, "11-15", H100&lt;=20, "16-20", H100&gt;20, "21+")</f>
        <v>0-5</v>
      </c>
      <c r="J100">
        <v>20</v>
      </c>
      <c r="K100">
        <v>1.1000000000000001</v>
      </c>
      <c r="L100" t="s">
        <v>2085</v>
      </c>
      <c r="M100" s="1">
        <v>0.74</v>
      </c>
    </row>
    <row r="101" spans="1:13" x14ac:dyDescent="0.3">
      <c r="A101" t="s">
        <v>275</v>
      </c>
      <c r="B101" t="s">
        <v>276</v>
      </c>
      <c r="C101" t="s">
        <v>93</v>
      </c>
      <c r="D101">
        <v>32</v>
      </c>
      <c r="E101" t="s">
        <v>134</v>
      </c>
      <c r="F101" t="s">
        <v>135</v>
      </c>
      <c r="G101" t="s">
        <v>69</v>
      </c>
      <c r="H101">
        <v>2</v>
      </c>
      <c r="I101" t="str" cm="1">
        <f t="array" ref="I101">_xlfn.IFS(H101&lt;=5, "0-5", H101&lt;=10, "6-10", H101&lt;=15, "11-15", H101&lt;=20, "16-20", H101&gt;20, "21+")</f>
        <v>0-5</v>
      </c>
      <c r="J101">
        <v>50</v>
      </c>
      <c r="K101">
        <v>1.2</v>
      </c>
      <c r="L101" t="s">
        <v>2085</v>
      </c>
      <c r="M101" s="1">
        <v>0.89</v>
      </c>
    </row>
    <row r="102" spans="1:13" x14ac:dyDescent="0.3">
      <c r="A102" t="s">
        <v>277</v>
      </c>
      <c r="B102" t="s">
        <v>278</v>
      </c>
      <c r="C102" t="s">
        <v>93</v>
      </c>
      <c r="D102">
        <v>35</v>
      </c>
      <c r="E102" t="s">
        <v>89</v>
      </c>
      <c r="F102" t="s">
        <v>90</v>
      </c>
      <c r="G102" t="s">
        <v>22</v>
      </c>
      <c r="H102">
        <v>30</v>
      </c>
      <c r="I102" t="str" cm="1">
        <f t="array" ref="I102">_xlfn.IFS(H102&lt;=5, "0-5", H102&lt;=10, "6-10", H102&lt;=15, "11-15", H102&lt;=20, "16-20", H102&gt;20, "21+")</f>
        <v>21+</v>
      </c>
      <c r="K102">
        <v>2</v>
      </c>
      <c r="L102" t="s">
        <v>2086</v>
      </c>
      <c r="M102" s="1">
        <v>0.64</v>
      </c>
    </row>
    <row r="103" spans="1:13" x14ac:dyDescent="0.3">
      <c r="A103" t="s">
        <v>279</v>
      </c>
      <c r="B103" t="s">
        <v>280</v>
      </c>
      <c r="C103" t="s">
        <v>73</v>
      </c>
      <c r="D103">
        <v>51</v>
      </c>
      <c r="E103" t="s">
        <v>119</v>
      </c>
      <c r="F103" t="s">
        <v>120</v>
      </c>
      <c r="G103" t="s">
        <v>29</v>
      </c>
      <c r="H103">
        <v>2</v>
      </c>
      <c r="I103" t="str" cm="1">
        <f t="array" ref="I103">_xlfn.IFS(H103&lt;=5, "0-5", H103&lt;=10, "6-10", H103&lt;=15, "11-15", H103&lt;=20, "16-20", H103&gt;20, "21+")</f>
        <v>0-5</v>
      </c>
      <c r="J103">
        <v>30</v>
      </c>
      <c r="K103">
        <v>4.5</v>
      </c>
      <c r="L103" t="s">
        <v>2085</v>
      </c>
      <c r="M103" s="1">
        <v>0.64</v>
      </c>
    </row>
    <row r="104" spans="1:13" x14ac:dyDescent="0.3">
      <c r="A104" t="s">
        <v>281</v>
      </c>
      <c r="B104" t="s">
        <v>282</v>
      </c>
      <c r="C104" t="s">
        <v>73</v>
      </c>
      <c r="D104">
        <v>50</v>
      </c>
      <c r="E104" t="s">
        <v>119</v>
      </c>
      <c r="F104" t="s">
        <v>120</v>
      </c>
      <c r="G104" t="s">
        <v>85</v>
      </c>
      <c r="H104">
        <v>3</v>
      </c>
      <c r="I104" t="str" cm="1">
        <f t="array" ref="I104">_xlfn.IFS(H104&lt;=5, "0-5", H104&lt;=10, "6-10", H104&lt;=15, "11-15", H104&lt;=20, "16-20", H104&gt;20, "21+")</f>
        <v>0-5</v>
      </c>
      <c r="J104">
        <v>100</v>
      </c>
      <c r="K104">
        <v>3</v>
      </c>
      <c r="L104" t="s">
        <v>2086</v>
      </c>
      <c r="M104" s="1">
        <v>0.73</v>
      </c>
    </row>
    <row r="105" spans="1:13" x14ac:dyDescent="0.3">
      <c r="A105" t="s">
        <v>283</v>
      </c>
      <c r="B105" t="s">
        <v>284</v>
      </c>
      <c r="C105" t="s">
        <v>73</v>
      </c>
      <c r="D105">
        <v>21</v>
      </c>
      <c r="E105" t="s">
        <v>59</v>
      </c>
      <c r="F105" t="s">
        <v>60</v>
      </c>
      <c r="G105" t="s">
        <v>16</v>
      </c>
      <c r="H105">
        <v>21</v>
      </c>
      <c r="I105" t="str" cm="1">
        <f t="array" ref="I105">_xlfn.IFS(H105&lt;=5, "0-5", H105&lt;=10, "6-10", H105&lt;=15, "11-15", H105&lt;=20, "16-20", H105&gt;20, "21+")</f>
        <v>21+</v>
      </c>
      <c r="J105">
        <v>50</v>
      </c>
      <c r="K105">
        <v>4.9000000000000004</v>
      </c>
      <c r="L105" t="s">
        <v>2086</v>
      </c>
      <c r="M105" s="1">
        <v>0.68</v>
      </c>
    </row>
    <row r="106" spans="1:13" x14ac:dyDescent="0.3">
      <c r="A106" t="s">
        <v>285</v>
      </c>
      <c r="B106" t="s">
        <v>286</v>
      </c>
      <c r="C106" t="s">
        <v>93</v>
      </c>
      <c r="D106">
        <v>25</v>
      </c>
      <c r="E106" t="s">
        <v>55</v>
      </c>
      <c r="F106" t="s">
        <v>21</v>
      </c>
      <c r="G106" t="s">
        <v>29</v>
      </c>
      <c r="H106">
        <v>3</v>
      </c>
      <c r="I106" t="str" cm="1">
        <f t="array" ref="I106">_xlfn.IFS(H106&lt;=5, "0-5", H106&lt;=10, "6-10", H106&lt;=15, "11-15", H106&lt;=20, "16-20", H106&gt;20, "21+")</f>
        <v>0-5</v>
      </c>
      <c r="J106">
        <v>30</v>
      </c>
      <c r="L106" t="s">
        <v>2085</v>
      </c>
      <c r="M106" s="1">
        <v>0.88</v>
      </c>
    </row>
    <row r="107" spans="1:13" x14ac:dyDescent="0.3">
      <c r="A107" t="s">
        <v>287</v>
      </c>
      <c r="B107" t="s">
        <v>288</v>
      </c>
      <c r="C107" t="s">
        <v>73</v>
      </c>
      <c r="D107">
        <v>57</v>
      </c>
      <c r="E107" t="s">
        <v>130</v>
      </c>
      <c r="F107" t="s">
        <v>131</v>
      </c>
      <c r="G107" t="s">
        <v>85</v>
      </c>
      <c r="H107">
        <v>19</v>
      </c>
      <c r="I107" t="str" cm="1">
        <f t="array" ref="I107">_xlfn.IFS(H107&lt;=5, "0-5", H107&lt;=10, "6-10", H107&lt;=15, "11-15", H107&lt;=20, "16-20", H107&gt;20, "21+")</f>
        <v>16-20</v>
      </c>
      <c r="J107">
        <v>40</v>
      </c>
      <c r="K107">
        <v>2.5</v>
      </c>
      <c r="L107" t="s">
        <v>2085</v>
      </c>
      <c r="M107" s="1">
        <v>0.77</v>
      </c>
    </row>
    <row r="108" spans="1:13" x14ac:dyDescent="0.3">
      <c r="A108" t="s">
        <v>289</v>
      </c>
      <c r="B108" t="s">
        <v>290</v>
      </c>
      <c r="C108" t="s">
        <v>93</v>
      </c>
      <c r="D108">
        <v>58</v>
      </c>
      <c r="E108" t="s">
        <v>119</v>
      </c>
      <c r="F108" t="s">
        <v>120</v>
      </c>
      <c r="G108" t="s">
        <v>16</v>
      </c>
      <c r="H108">
        <v>0</v>
      </c>
      <c r="I108" t="str" cm="1">
        <f t="array" ref="I108">_xlfn.IFS(H108&lt;=5, "0-5", H108&lt;=10, "6-10", H108&lt;=15, "11-15", H108&lt;=20, "16-20", H108&gt;20, "21+")</f>
        <v>0-5</v>
      </c>
      <c r="K108">
        <v>0</v>
      </c>
      <c r="L108" t="s">
        <v>2086</v>
      </c>
    </row>
    <row r="109" spans="1:13" x14ac:dyDescent="0.3">
      <c r="A109" t="s">
        <v>291</v>
      </c>
      <c r="B109" t="s">
        <v>292</v>
      </c>
      <c r="C109" t="s">
        <v>73</v>
      </c>
      <c r="D109">
        <v>45</v>
      </c>
      <c r="E109" t="s">
        <v>46</v>
      </c>
      <c r="F109" t="s">
        <v>47</v>
      </c>
      <c r="G109" t="s">
        <v>22</v>
      </c>
      <c r="H109">
        <v>9</v>
      </c>
      <c r="I109" t="str" cm="1">
        <f t="array" ref="I109">_xlfn.IFS(H109&lt;=5, "0-5", H109&lt;=10, "6-10", H109&lt;=15, "11-15", H109&lt;=20, "16-20", H109&gt;20, "21+")</f>
        <v>6-10</v>
      </c>
      <c r="J109">
        <v>40</v>
      </c>
      <c r="L109" t="s">
        <v>2086</v>
      </c>
      <c r="M109" s="1">
        <v>0.72</v>
      </c>
    </row>
    <row r="110" spans="1:13" x14ac:dyDescent="0.3">
      <c r="A110" t="s">
        <v>293</v>
      </c>
      <c r="B110" t="s">
        <v>294</v>
      </c>
      <c r="C110" t="s">
        <v>73</v>
      </c>
      <c r="D110">
        <v>23</v>
      </c>
      <c r="E110" t="s">
        <v>55</v>
      </c>
      <c r="F110" t="s">
        <v>21</v>
      </c>
      <c r="G110" t="s">
        <v>34</v>
      </c>
      <c r="H110">
        <v>5</v>
      </c>
      <c r="I110" t="str" cm="1">
        <f t="array" ref="I110">_xlfn.IFS(H110&lt;=5, "0-5", H110&lt;=10, "6-10", H110&lt;=15, "11-15", H110&lt;=20, "16-20", H110&gt;20, "21+")</f>
        <v>0-5</v>
      </c>
      <c r="J110">
        <v>20</v>
      </c>
      <c r="K110">
        <v>4.7</v>
      </c>
      <c r="L110" t="s">
        <v>2086</v>
      </c>
      <c r="M110" s="1">
        <v>0.6</v>
      </c>
    </row>
    <row r="111" spans="1:13" x14ac:dyDescent="0.3">
      <c r="A111" t="s">
        <v>295</v>
      </c>
      <c r="B111" t="s">
        <v>296</v>
      </c>
      <c r="C111" t="s">
        <v>73</v>
      </c>
      <c r="D111">
        <v>46</v>
      </c>
      <c r="E111" t="s">
        <v>55</v>
      </c>
      <c r="F111" t="s">
        <v>21</v>
      </c>
      <c r="G111" t="s">
        <v>42</v>
      </c>
      <c r="H111">
        <v>6</v>
      </c>
      <c r="I111" t="str" cm="1">
        <f t="array" ref="I111">_xlfn.IFS(H111&lt;=5, "0-5", H111&lt;=10, "6-10", H111&lt;=15, "11-15", H111&lt;=20, "16-20", H111&gt;20, "21+")</f>
        <v>6-10</v>
      </c>
      <c r="J111">
        <v>30</v>
      </c>
      <c r="K111">
        <v>3.5</v>
      </c>
      <c r="M111" s="1">
        <v>0.72</v>
      </c>
    </row>
    <row r="112" spans="1:13" x14ac:dyDescent="0.3">
      <c r="A112" t="s">
        <v>297</v>
      </c>
      <c r="B112" t="s">
        <v>298</v>
      </c>
      <c r="C112" t="s">
        <v>93</v>
      </c>
      <c r="D112">
        <v>27</v>
      </c>
      <c r="E112" t="s">
        <v>67</v>
      </c>
      <c r="F112" t="s">
        <v>68</v>
      </c>
      <c r="G112" t="s">
        <v>69</v>
      </c>
      <c r="H112">
        <v>6</v>
      </c>
      <c r="I112" t="str" cm="1">
        <f t="array" ref="I112">_xlfn.IFS(H112&lt;=5, "0-5", H112&lt;=10, "6-10", H112&lt;=15, "11-15", H112&lt;=20, "16-20", H112&gt;20, "21+")</f>
        <v>6-10</v>
      </c>
      <c r="J112">
        <v>30</v>
      </c>
      <c r="L112" t="s">
        <v>2085</v>
      </c>
      <c r="M112" s="1">
        <v>0.92</v>
      </c>
    </row>
    <row r="113" spans="1:13" x14ac:dyDescent="0.3">
      <c r="A113" t="s">
        <v>299</v>
      </c>
      <c r="B113" t="s">
        <v>300</v>
      </c>
      <c r="C113" t="s">
        <v>73</v>
      </c>
      <c r="D113">
        <v>32</v>
      </c>
      <c r="E113" t="s">
        <v>55</v>
      </c>
      <c r="F113" t="s">
        <v>21</v>
      </c>
      <c r="G113" t="s">
        <v>110</v>
      </c>
      <c r="H113">
        <v>3</v>
      </c>
      <c r="I113" t="str" cm="1">
        <f t="array" ref="I113">_xlfn.IFS(H113&lt;=5, "0-5", H113&lt;=10, "6-10", H113&lt;=15, "11-15", H113&lt;=20, "16-20", H113&gt;20, "21+")</f>
        <v>0-5</v>
      </c>
      <c r="J113">
        <v>50</v>
      </c>
      <c r="K113">
        <v>3.4</v>
      </c>
      <c r="L113" t="s">
        <v>2086</v>
      </c>
    </row>
    <row r="114" spans="1:13" x14ac:dyDescent="0.3">
      <c r="A114" t="s">
        <v>301</v>
      </c>
      <c r="B114" t="s">
        <v>302</v>
      </c>
      <c r="C114" t="s">
        <v>73</v>
      </c>
      <c r="D114">
        <v>48</v>
      </c>
      <c r="E114" t="s">
        <v>67</v>
      </c>
      <c r="F114" t="s">
        <v>68</v>
      </c>
      <c r="G114" t="s">
        <v>110</v>
      </c>
      <c r="H114">
        <v>13</v>
      </c>
      <c r="I114" t="str" cm="1">
        <f t="array" ref="I114">_xlfn.IFS(H114&lt;=5, "0-5", H114&lt;=10, "6-10", H114&lt;=15, "11-15", H114&lt;=20, "16-20", H114&gt;20, "21+")</f>
        <v>11-15</v>
      </c>
      <c r="J114">
        <v>75</v>
      </c>
      <c r="K114">
        <v>2.5</v>
      </c>
      <c r="M114" s="1">
        <v>0.92</v>
      </c>
    </row>
    <row r="115" spans="1:13" x14ac:dyDescent="0.3">
      <c r="A115" t="s">
        <v>303</v>
      </c>
      <c r="B115" t="s">
        <v>304</v>
      </c>
      <c r="C115" t="s">
        <v>93</v>
      </c>
      <c r="D115">
        <v>30</v>
      </c>
      <c r="E115" t="s">
        <v>59</v>
      </c>
      <c r="F115" t="s">
        <v>60</v>
      </c>
      <c r="G115" t="s">
        <v>22</v>
      </c>
      <c r="H115">
        <v>5</v>
      </c>
      <c r="I115" t="str" cm="1">
        <f t="array" ref="I115">_xlfn.IFS(H115&lt;=5, "0-5", H115&lt;=10, "6-10", H115&lt;=15, "11-15", H115&lt;=20, "16-20", H115&gt;20, "21+")</f>
        <v>0-5</v>
      </c>
      <c r="J115">
        <v>30</v>
      </c>
      <c r="K115">
        <v>1.1000000000000001</v>
      </c>
      <c r="L115" t="s">
        <v>2086</v>
      </c>
    </row>
    <row r="116" spans="1:13" x14ac:dyDescent="0.3">
      <c r="A116" t="s">
        <v>305</v>
      </c>
      <c r="B116" t="s">
        <v>306</v>
      </c>
      <c r="C116" t="s">
        <v>93</v>
      </c>
      <c r="D116">
        <v>59</v>
      </c>
      <c r="E116" t="s">
        <v>59</v>
      </c>
      <c r="F116" t="s">
        <v>60</v>
      </c>
      <c r="G116" t="s">
        <v>42</v>
      </c>
      <c r="H116">
        <v>4</v>
      </c>
      <c r="I116" t="str" cm="1">
        <f t="array" ref="I116">_xlfn.IFS(H116&lt;=5, "0-5", H116&lt;=10, "6-10", H116&lt;=15, "11-15", H116&lt;=20, "16-20", H116&gt;20, "21+")</f>
        <v>0-5</v>
      </c>
      <c r="J116">
        <v>20</v>
      </c>
      <c r="K116">
        <v>4.8</v>
      </c>
    </row>
    <row r="117" spans="1:13" x14ac:dyDescent="0.3">
      <c r="A117" t="s">
        <v>308</v>
      </c>
      <c r="B117" t="s">
        <v>309</v>
      </c>
      <c r="C117" t="s">
        <v>73</v>
      </c>
      <c r="D117">
        <v>32</v>
      </c>
      <c r="E117" t="s">
        <v>173</v>
      </c>
      <c r="F117" t="s">
        <v>68</v>
      </c>
      <c r="G117" t="s">
        <v>42</v>
      </c>
      <c r="H117">
        <v>7</v>
      </c>
      <c r="I117" t="str" cm="1">
        <f t="array" ref="I117">_xlfn.IFS(H117&lt;=5, "0-5", H117&lt;=10, "6-10", H117&lt;=15, "11-15", H117&lt;=20, "16-20", H117&gt;20, "21+")</f>
        <v>6-10</v>
      </c>
      <c r="J117">
        <v>30</v>
      </c>
      <c r="L117" t="s">
        <v>2085</v>
      </c>
      <c r="M117" s="1">
        <v>0.86</v>
      </c>
    </row>
    <row r="118" spans="1:13" x14ac:dyDescent="0.3">
      <c r="A118" t="s">
        <v>310</v>
      </c>
      <c r="B118" t="s">
        <v>311</v>
      </c>
      <c r="C118" t="s">
        <v>73</v>
      </c>
      <c r="D118">
        <v>57</v>
      </c>
      <c r="E118" t="s">
        <v>134</v>
      </c>
      <c r="F118" t="s">
        <v>135</v>
      </c>
      <c r="G118" t="s">
        <v>69</v>
      </c>
      <c r="H118">
        <v>13</v>
      </c>
      <c r="I118" t="str" cm="1">
        <f t="array" ref="I118">_xlfn.IFS(H118&lt;=5, "0-5", H118&lt;=10, "6-10", H118&lt;=15, "11-15", H118&lt;=20, "16-20", H118&gt;20, "21+")</f>
        <v>11-15</v>
      </c>
      <c r="J118">
        <v>40</v>
      </c>
      <c r="K118">
        <v>3.4</v>
      </c>
      <c r="L118" t="s">
        <v>2086</v>
      </c>
      <c r="M118" s="1">
        <v>0.68</v>
      </c>
    </row>
    <row r="119" spans="1:13" x14ac:dyDescent="0.3">
      <c r="A119" t="s">
        <v>312</v>
      </c>
      <c r="B119" t="s">
        <v>313</v>
      </c>
      <c r="C119" t="s">
        <v>93</v>
      </c>
      <c r="D119">
        <v>27</v>
      </c>
      <c r="E119" t="s">
        <v>20</v>
      </c>
      <c r="F119" t="s">
        <v>21</v>
      </c>
      <c r="G119" t="s">
        <v>110</v>
      </c>
      <c r="H119">
        <v>4</v>
      </c>
      <c r="I119" t="str" cm="1">
        <f t="array" ref="I119">_xlfn.IFS(H119&lt;=5, "0-5", H119&lt;=10, "6-10", H119&lt;=15, "11-15", H119&lt;=20, "16-20", H119&gt;20, "21+")</f>
        <v>0-5</v>
      </c>
      <c r="J119">
        <v>20</v>
      </c>
      <c r="K119">
        <v>3.2</v>
      </c>
      <c r="L119" t="s">
        <v>2086</v>
      </c>
      <c r="M119" s="1">
        <v>0.62</v>
      </c>
    </row>
    <row r="120" spans="1:13" x14ac:dyDescent="0.3">
      <c r="A120" t="s">
        <v>314</v>
      </c>
      <c r="B120" t="s">
        <v>315</v>
      </c>
      <c r="C120" t="s">
        <v>73</v>
      </c>
      <c r="D120">
        <v>33</v>
      </c>
      <c r="E120" t="s">
        <v>46</v>
      </c>
      <c r="F120" t="s">
        <v>47</v>
      </c>
      <c r="G120" t="s">
        <v>110</v>
      </c>
      <c r="H120">
        <v>13</v>
      </c>
      <c r="I120" t="str" cm="1">
        <f t="array" ref="I120">_xlfn.IFS(H120&lt;=5, "0-5", H120&lt;=10, "6-10", H120&lt;=15, "11-15", H120&lt;=20, "16-20", H120&gt;20, "21+")</f>
        <v>11-15</v>
      </c>
      <c r="J120">
        <v>20</v>
      </c>
      <c r="K120">
        <v>3.2</v>
      </c>
      <c r="L120" t="s">
        <v>2085</v>
      </c>
    </row>
    <row r="121" spans="1:13" x14ac:dyDescent="0.3">
      <c r="A121" t="s">
        <v>316</v>
      </c>
      <c r="B121" t="s">
        <v>317</v>
      </c>
      <c r="C121" t="s">
        <v>93</v>
      </c>
      <c r="D121">
        <v>29</v>
      </c>
      <c r="E121" t="s">
        <v>108</v>
      </c>
      <c r="F121" t="s">
        <v>109</v>
      </c>
      <c r="G121" t="s">
        <v>48</v>
      </c>
      <c r="H121">
        <v>5</v>
      </c>
      <c r="I121" t="str" cm="1">
        <f t="array" ref="I121">_xlfn.IFS(H121&lt;=5, "0-5", H121&lt;=10, "6-10", H121&lt;=15, "11-15", H121&lt;=20, "16-20", H121&gt;20, "21+")</f>
        <v>0-5</v>
      </c>
      <c r="J121">
        <v>30</v>
      </c>
      <c r="K121">
        <v>0</v>
      </c>
      <c r="L121" t="s">
        <v>2086</v>
      </c>
      <c r="M121" s="1">
        <v>0.82</v>
      </c>
    </row>
    <row r="122" spans="1:13" x14ac:dyDescent="0.3">
      <c r="A122" t="s">
        <v>318</v>
      </c>
      <c r="B122" t="s">
        <v>2089</v>
      </c>
      <c r="C122" t="s">
        <v>73</v>
      </c>
      <c r="D122">
        <v>36</v>
      </c>
      <c r="E122" t="s">
        <v>46</v>
      </c>
      <c r="F122" t="s">
        <v>47</v>
      </c>
      <c r="G122" t="s">
        <v>69</v>
      </c>
      <c r="H122">
        <v>15</v>
      </c>
      <c r="I122" t="str" cm="1">
        <f t="array" ref="I122">_xlfn.IFS(H122&lt;=5, "0-5", H122&lt;=10, "6-10", H122&lt;=15, "11-15", H122&lt;=20, "16-20", H122&gt;20, "21+")</f>
        <v>11-15</v>
      </c>
      <c r="J122">
        <v>75</v>
      </c>
      <c r="L122" t="s">
        <v>2086</v>
      </c>
    </row>
    <row r="123" spans="1:13" x14ac:dyDescent="0.3">
      <c r="A123" t="s">
        <v>320</v>
      </c>
      <c r="B123" t="s">
        <v>321</v>
      </c>
      <c r="C123" t="s">
        <v>73</v>
      </c>
      <c r="D123">
        <v>47</v>
      </c>
      <c r="E123" t="s">
        <v>14</v>
      </c>
      <c r="F123" t="s">
        <v>15</v>
      </c>
      <c r="G123" t="s">
        <v>85</v>
      </c>
      <c r="H123">
        <v>8</v>
      </c>
      <c r="I123" t="str" cm="1">
        <f t="array" ref="I123">_xlfn.IFS(H123&lt;=5, "0-5", H123&lt;=10, "6-10", H123&lt;=15, "11-15", H123&lt;=20, "16-20", H123&gt;20, "21+")</f>
        <v>6-10</v>
      </c>
      <c r="J123">
        <v>40</v>
      </c>
      <c r="K123">
        <v>3.7</v>
      </c>
      <c r="L123" t="s">
        <v>2085</v>
      </c>
      <c r="M123" s="1">
        <v>0.93</v>
      </c>
    </row>
    <row r="124" spans="1:13" x14ac:dyDescent="0.3">
      <c r="A124" t="s">
        <v>322</v>
      </c>
      <c r="B124" t="s">
        <v>323</v>
      </c>
      <c r="C124" t="s">
        <v>93</v>
      </c>
      <c r="D124">
        <v>48</v>
      </c>
      <c r="E124" t="s">
        <v>123</v>
      </c>
      <c r="F124" t="s">
        <v>21</v>
      </c>
      <c r="G124" t="s">
        <v>110</v>
      </c>
      <c r="H124">
        <v>10</v>
      </c>
      <c r="I124" t="str" cm="1">
        <f t="array" ref="I124">_xlfn.IFS(H124&lt;=5, "0-5", H124&lt;=10, "6-10", H124&lt;=15, "11-15", H124&lt;=20, "16-20", H124&gt;20, "21+")</f>
        <v>6-10</v>
      </c>
      <c r="J124">
        <v>50</v>
      </c>
      <c r="K124">
        <v>1</v>
      </c>
      <c r="L124" t="s">
        <v>2086</v>
      </c>
      <c r="M124" s="1">
        <v>0.64</v>
      </c>
    </row>
    <row r="125" spans="1:13" x14ac:dyDescent="0.3">
      <c r="A125" t="s">
        <v>324</v>
      </c>
      <c r="B125" t="s">
        <v>325</v>
      </c>
      <c r="C125" t="s">
        <v>73</v>
      </c>
      <c r="D125">
        <v>27</v>
      </c>
      <c r="E125" t="s">
        <v>169</v>
      </c>
      <c r="F125" t="s">
        <v>170</v>
      </c>
      <c r="G125" t="s">
        <v>69</v>
      </c>
      <c r="H125">
        <v>19</v>
      </c>
      <c r="I125" t="str" cm="1">
        <f t="array" ref="I125">_xlfn.IFS(H125&lt;=5, "0-5", H125&lt;=10, "6-10", H125&lt;=15, "11-15", H125&lt;=20, "16-20", H125&gt;20, "21+")</f>
        <v>16-20</v>
      </c>
      <c r="J125">
        <v>50</v>
      </c>
      <c r="K125">
        <v>0</v>
      </c>
    </row>
    <row r="126" spans="1:13" x14ac:dyDescent="0.3">
      <c r="A126" t="s">
        <v>326</v>
      </c>
      <c r="B126" t="s">
        <v>327</v>
      </c>
      <c r="C126" t="s">
        <v>93</v>
      </c>
      <c r="D126">
        <v>34</v>
      </c>
      <c r="E126" t="s">
        <v>20</v>
      </c>
      <c r="F126" t="s">
        <v>21</v>
      </c>
      <c r="G126" t="s">
        <v>34</v>
      </c>
      <c r="H126">
        <v>10</v>
      </c>
      <c r="I126" t="str" cm="1">
        <f t="array" ref="I126">_xlfn.IFS(H126&lt;=5, "0-5", H126&lt;=10, "6-10", H126&lt;=15, "11-15", H126&lt;=20, "16-20", H126&gt;20, "21+")</f>
        <v>6-10</v>
      </c>
      <c r="K126">
        <v>1.7</v>
      </c>
      <c r="L126" t="s">
        <v>2085</v>
      </c>
      <c r="M126" s="1">
        <v>0.96</v>
      </c>
    </row>
    <row r="127" spans="1:13" x14ac:dyDescent="0.3">
      <c r="A127" t="s">
        <v>328</v>
      </c>
      <c r="B127" t="s">
        <v>329</v>
      </c>
      <c r="C127" t="s">
        <v>93</v>
      </c>
      <c r="D127">
        <v>49</v>
      </c>
      <c r="E127" t="s">
        <v>108</v>
      </c>
      <c r="F127" t="s">
        <v>109</v>
      </c>
      <c r="G127" t="s">
        <v>48</v>
      </c>
      <c r="H127">
        <v>8</v>
      </c>
      <c r="I127" t="str" cm="1">
        <f t="array" ref="I127">_xlfn.IFS(H127&lt;=5, "0-5", H127&lt;=10, "6-10", H127&lt;=15, "11-15", H127&lt;=20, "16-20", H127&gt;20, "21+")</f>
        <v>6-10</v>
      </c>
      <c r="K127">
        <v>5</v>
      </c>
      <c r="L127" t="s">
        <v>2086</v>
      </c>
      <c r="M127" s="1">
        <v>0.83</v>
      </c>
    </row>
    <row r="128" spans="1:13" x14ac:dyDescent="0.3">
      <c r="A128" t="s">
        <v>330</v>
      </c>
      <c r="B128" t="s">
        <v>331</v>
      </c>
      <c r="C128" t="s">
        <v>93</v>
      </c>
      <c r="D128">
        <v>30</v>
      </c>
      <c r="E128" t="s">
        <v>103</v>
      </c>
      <c r="F128" t="s">
        <v>104</v>
      </c>
      <c r="G128" t="s">
        <v>22</v>
      </c>
      <c r="H128">
        <v>9</v>
      </c>
      <c r="I128" t="str" cm="1">
        <f t="array" ref="I128">_xlfn.IFS(H128&lt;=5, "0-5", H128&lt;=10, "6-10", H128&lt;=15, "11-15", H128&lt;=20, "16-20", H128&gt;20, "21+")</f>
        <v>6-10</v>
      </c>
      <c r="J128">
        <v>100</v>
      </c>
      <c r="K128">
        <v>1.7</v>
      </c>
      <c r="L128" t="s">
        <v>2086</v>
      </c>
      <c r="M128" s="1">
        <v>0.64</v>
      </c>
    </row>
    <row r="129" spans="1:13" x14ac:dyDescent="0.3">
      <c r="A129" t="s">
        <v>332</v>
      </c>
      <c r="B129" t="s">
        <v>333</v>
      </c>
      <c r="C129" t="s">
        <v>93</v>
      </c>
      <c r="D129">
        <v>31</v>
      </c>
      <c r="E129" t="s">
        <v>134</v>
      </c>
      <c r="F129" t="s">
        <v>135</v>
      </c>
      <c r="G129" t="s">
        <v>29</v>
      </c>
      <c r="H129">
        <v>13</v>
      </c>
      <c r="I129" t="str" cm="1">
        <f t="array" ref="I129">_xlfn.IFS(H129&lt;=5, "0-5", H129&lt;=10, "6-10", H129&lt;=15, "11-15", H129&lt;=20, "16-20", H129&gt;20, "21+")</f>
        <v>11-15</v>
      </c>
      <c r="J129">
        <v>40</v>
      </c>
      <c r="K129">
        <v>4.4000000000000004</v>
      </c>
      <c r="L129" t="s">
        <v>2085</v>
      </c>
      <c r="M129" s="1">
        <v>0.7</v>
      </c>
    </row>
    <row r="130" spans="1:13" x14ac:dyDescent="0.3">
      <c r="A130" t="s">
        <v>334</v>
      </c>
      <c r="B130" t="s">
        <v>335</v>
      </c>
      <c r="C130" t="s">
        <v>93</v>
      </c>
      <c r="D130">
        <v>58</v>
      </c>
      <c r="E130" t="s">
        <v>169</v>
      </c>
      <c r="F130" t="s">
        <v>170</v>
      </c>
      <c r="G130" t="s">
        <v>110</v>
      </c>
      <c r="H130">
        <v>14</v>
      </c>
      <c r="I130" t="str" cm="1">
        <f t="array" ref="I130">_xlfn.IFS(H130&lt;=5, "0-5", H130&lt;=10, "6-10", H130&lt;=15, "11-15", H130&lt;=20, "16-20", H130&gt;20, "21+")</f>
        <v>11-15</v>
      </c>
      <c r="J130">
        <v>20</v>
      </c>
      <c r="K130">
        <v>0</v>
      </c>
      <c r="L130" t="s">
        <v>2085</v>
      </c>
      <c r="M130" s="1">
        <v>0.65</v>
      </c>
    </row>
    <row r="131" spans="1:13" x14ac:dyDescent="0.3">
      <c r="A131" t="s">
        <v>336</v>
      </c>
      <c r="B131" t="s">
        <v>337</v>
      </c>
      <c r="C131" t="s">
        <v>93</v>
      </c>
      <c r="D131">
        <v>47</v>
      </c>
      <c r="E131" t="s">
        <v>130</v>
      </c>
      <c r="F131" t="s">
        <v>131</v>
      </c>
      <c r="G131" t="s">
        <v>110</v>
      </c>
      <c r="H131">
        <v>0</v>
      </c>
      <c r="I131" t="str" cm="1">
        <f t="array" ref="I131">_xlfn.IFS(H131&lt;=5, "0-5", H131&lt;=10, "6-10", H131&lt;=15, "11-15", H131&lt;=20, "16-20", H131&gt;20, "21+")</f>
        <v>0-5</v>
      </c>
      <c r="J131">
        <v>40</v>
      </c>
      <c r="K131">
        <v>3.4</v>
      </c>
      <c r="M131" s="1">
        <v>0.67</v>
      </c>
    </row>
    <row r="132" spans="1:13" x14ac:dyDescent="0.3">
      <c r="A132" t="s">
        <v>338</v>
      </c>
      <c r="B132" t="s">
        <v>339</v>
      </c>
      <c r="C132" t="s">
        <v>73</v>
      </c>
      <c r="D132">
        <v>45</v>
      </c>
      <c r="E132" t="s">
        <v>63</v>
      </c>
      <c r="F132" t="s">
        <v>21</v>
      </c>
      <c r="G132" t="s">
        <v>74</v>
      </c>
      <c r="H132">
        <v>22</v>
      </c>
      <c r="I132" t="str" cm="1">
        <f t="array" ref="I132">_xlfn.IFS(H132&lt;=5, "0-5", H132&lt;=10, "6-10", H132&lt;=15, "11-15", H132&lt;=20, "16-20", H132&gt;20, "21+")</f>
        <v>21+</v>
      </c>
      <c r="J132">
        <v>100</v>
      </c>
      <c r="K132">
        <v>1.1000000000000001</v>
      </c>
      <c r="L132" t="s">
        <v>2085</v>
      </c>
      <c r="M132" s="1">
        <v>0.93</v>
      </c>
    </row>
    <row r="133" spans="1:13" x14ac:dyDescent="0.3">
      <c r="A133" t="s">
        <v>340</v>
      </c>
      <c r="B133" t="s">
        <v>341</v>
      </c>
      <c r="C133" t="s">
        <v>73</v>
      </c>
      <c r="D133">
        <v>57</v>
      </c>
      <c r="E133" t="s">
        <v>130</v>
      </c>
      <c r="F133" t="s">
        <v>131</v>
      </c>
      <c r="G133" t="s">
        <v>110</v>
      </c>
      <c r="H133">
        <v>4</v>
      </c>
      <c r="I133" t="str" cm="1">
        <f t="array" ref="I133">_xlfn.IFS(H133&lt;=5, "0-5", H133&lt;=10, "6-10", H133&lt;=15, "11-15", H133&lt;=20, "16-20", H133&gt;20, "21+")</f>
        <v>0-5</v>
      </c>
      <c r="J133">
        <v>50</v>
      </c>
      <c r="K133">
        <v>1.6</v>
      </c>
      <c r="L133" t="s">
        <v>2085</v>
      </c>
      <c r="M133" s="1">
        <v>0.6</v>
      </c>
    </row>
    <row r="134" spans="1:13" x14ac:dyDescent="0.3">
      <c r="A134" t="s">
        <v>342</v>
      </c>
      <c r="B134" t="s">
        <v>343</v>
      </c>
      <c r="C134" t="s">
        <v>93</v>
      </c>
      <c r="D134">
        <v>50</v>
      </c>
      <c r="E134" t="s">
        <v>89</v>
      </c>
      <c r="F134" t="s">
        <v>90</v>
      </c>
      <c r="G134" t="s">
        <v>34</v>
      </c>
      <c r="H134">
        <v>22</v>
      </c>
      <c r="I134" t="str" cm="1">
        <f t="array" ref="I134">_xlfn.IFS(H134&lt;=5, "0-5", H134&lt;=10, "6-10", H134&lt;=15, "11-15", H134&lt;=20, "16-20", H134&gt;20, "21+")</f>
        <v>21+</v>
      </c>
      <c r="J134">
        <v>100</v>
      </c>
      <c r="K134">
        <v>4.0999999999999996</v>
      </c>
      <c r="L134" t="s">
        <v>2085</v>
      </c>
      <c r="M134" s="1">
        <v>0.62</v>
      </c>
    </row>
    <row r="135" spans="1:13" x14ac:dyDescent="0.3">
      <c r="A135" t="s">
        <v>344</v>
      </c>
      <c r="B135" t="s">
        <v>345</v>
      </c>
      <c r="C135" t="s">
        <v>73</v>
      </c>
      <c r="E135" t="s">
        <v>103</v>
      </c>
      <c r="F135" t="s">
        <v>104</v>
      </c>
      <c r="G135" t="s">
        <v>110</v>
      </c>
      <c r="H135">
        <v>39</v>
      </c>
      <c r="I135" t="str" cm="1">
        <f t="array" ref="I135">_xlfn.IFS(H135&lt;=5, "0-5", H135&lt;=10, "6-10", H135&lt;=15, "11-15", H135&lt;=20, "16-20", H135&gt;20, "21+")</f>
        <v>21+</v>
      </c>
      <c r="K135">
        <v>2.5</v>
      </c>
      <c r="M135" s="1">
        <v>0.7</v>
      </c>
    </row>
    <row r="136" spans="1:13" x14ac:dyDescent="0.3">
      <c r="A136" t="s">
        <v>346</v>
      </c>
      <c r="B136" t="s">
        <v>347</v>
      </c>
      <c r="C136" t="s">
        <v>73</v>
      </c>
      <c r="D136">
        <v>45</v>
      </c>
      <c r="E136" t="s">
        <v>46</v>
      </c>
      <c r="F136" t="s">
        <v>47</v>
      </c>
      <c r="G136" t="s">
        <v>16</v>
      </c>
      <c r="H136">
        <v>5</v>
      </c>
      <c r="I136" t="str" cm="1">
        <f t="array" ref="I136">_xlfn.IFS(H136&lt;=5, "0-5", H136&lt;=10, "6-10", H136&lt;=15, "11-15", H136&lt;=20, "16-20", H136&gt;20, "21+")</f>
        <v>0-5</v>
      </c>
      <c r="J136">
        <v>100</v>
      </c>
      <c r="K136">
        <v>4</v>
      </c>
      <c r="L136" t="s">
        <v>2086</v>
      </c>
      <c r="M136" s="1">
        <v>0.75</v>
      </c>
    </row>
    <row r="137" spans="1:13" x14ac:dyDescent="0.3">
      <c r="A137" t="s">
        <v>348</v>
      </c>
      <c r="B137" t="s">
        <v>349</v>
      </c>
      <c r="C137" t="s">
        <v>93</v>
      </c>
      <c r="D137">
        <v>60</v>
      </c>
      <c r="E137" t="s">
        <v>148</v>
      </c>
      <c r="F137" t="s">
        <v>149</v>
      </c>
      <c r="G137" t="s">
        <v>74</v>
      </c>
      <c r="H137">
        <v>5</v>
      </c>
      <c r="I137" t="str" cm="1">
        <f t="array" ref="I137">_xlfn.IFS(H137&lt;=5, "0-5", H137&lt;=10, "6-10", H137&lt;=15, "11-15", H137&lt;=20, "16-20", H137&gt;20, "21+")</f>
        <v>0-5</v>
      </c>
      <c r="J137">
        <v>75</v>
      </c>
      <c r="K137">
        <v>1.4</v>
      </c>
      <c r="L137" t="s">
        <v>2085</v>
      </c>
      <c r="M137" s="1">
        <v>0.7</v>
      </c>
    </row>
    <row r="138" spans="1:13" x14ac:dyDescent="0.3">
      <c r="A138" t="s">
        <v>350</v>
      </c>
      <c r="B138" t="s">
        <v>351</v>
      </c>
      <c r="C138" t="s">
        <v>73</v>
      </c>
      <c r="D138">
        <v>43</v>
      </c>
      <c r="E138" t="s">
        <v>63</v>
      </c>
      <c r="F138" t="s">
        <v>21</v>
      </c>
      <c r="G138" t="s">
        <v>74</v>
      </c>
      <c r="H138">
        <v>5</v>
      </c>
      <c r="I138" t="str" cm="1">
        <f t="array" ref="I138">_xlfn.IFS(H138&lt;=5, "0-5", H138&lt;=10, "6-10", H138&lt;=15, "11-15", H138&lt;=20, "16-20", H138&gt;20, "21+")</f>
        <v>0-5</v>
      </c>
      <c r="J138">
        <v>50</v>
      </c>
      <c r="L138" t="s">
        <v>2086</v>
      </c>
      <c r="M138" s="1">
        <v>0.84</v>
      </c>
    </row>
    <row r="139" spans="1:13" x14ac:dyDescent="0.3">
      <c r="A139" t="s">
        <v>352</v>
      </c>
      <c r="B139" t="s">
        <v>353</v>
      </c>
      <c r="C139" t="s">
        <v>73</v>
      </c>
      <c r="D139">
        <v>39</v>
      </c>
      <c r="E139" t="s">
        <v>130</v>
      </c>
      <c r="F139" t="s">
        <v>131</v>
      </c>
      <c r="G139" t="s">
        <v>74</v>
      </c>
      <c r="H139">
        <v>11</v>
      </c>
      <c r="I139" t="str" cm="1">
        <f t="array" ref="I139">_xlfn.IFS(H139&lt;=5, "0-5", H139&lt;=10, "6-10", H139&lt;=15, "11-15", H139&lt;=20, "16-20", H139&gt;20, "21+")</f>
        <v>11-15</v>
      </c>
      <c r="J139">
        <v>40</v>
      </c>
      <c r="K139">
        <v>1.2</v>
      </c>
      <c r="L139" t="s">
        <v>2085</v>
      </c>
      <c r="M139" s="1">
        <v>0.83</v>
      </c>
    </row>
    <row r="140" spans="1:13" x14ac:dyDescent="0.3">
      <c r="A140" t="s">
        <v>354</v>
      </c>
      <c r="B140" t="s">
        <v>355</v>
      </c>
      <c r="C140" t="s">
        <v>93</v>
      </c>
      <c r="D140">
        <v>26</v>
      </c>
      <c r="E140" t="s">
        <v>173</v>
      </c>
      <c r="F140" t="s">
        <v>68</v>
      </c>
      <c r="G140" t="s">
        <v>69</v>
      </c>
      <c r="H140">
        <v>15</v>
      </c>
      <c r="I140" t="str" cm="1">
        <f t="array" ref="I140">_xlfn.IFS(H140&lt;=5, "0-5", H140&lt;=10, "6-10", H140&lt;=15, "11-15", H140&lt;=20, "16-20", H140&gt;20, "21+")</f>
        <v>11-15</v>
      </c>
      <c r="J140">
        <v>50</v>
      </c>
      <c r="K140">
        <v>0</v>
      </c>
      <c r="L140" t="s">
        <v>2085</v>
      </c>
    </row>
    <row r="141" spans="1:13" x14ac:dyDescent="0.3">
      <c r="A141" t="s">
        <v>356</v>
      </c>
      <c r="B141" t="s">
        <v>357</v>
      </c>
      <c r="C141" t="s">
        <v>93</v>
      </c>
      <c r="D141">
        <v>31</v>
      </c>
      <c r="E141" t="s">
        <v>27</v>
      </c>
      <c r="F141" t="s">
        <v>28</v>
      </c>
      <c r="G141" t="s">
        <v>74</v>
      </c>
      <c r="H141">
        <v>5</v>
      </c>
      <c r="I141" t="str" cm="1">
        <f t="array" ref="I141">_xlfn.IFS(H141&lt;=5, "0-5", H141&lt;=10, "6-10", H141&lt;=15, "11-15", H141&lt;=20, "16-20", H141&gt;20, "21+")</f>
        <v>0-5</v>
      </c>
      <c r="J141">
        <v>50</v>
      </c>
      <c r="K141">
        <v>3.1</v>
      </c>
      <c r="L141" t="s">
        <v>2085</v>
      </c>
      <c r="M141" s="1">
        <v>0.88</v>
      </c>
    </row>
    <row r="142" spans="1:13" x14ac:dyDescent="0.3">
      <c r="A142" t="s">
        <v>358</v>
      </c>
      <c r="B142" t="s">
        <v>359</v>
      </c>
      <c r="C142" t="s">
        <v>93</v>
      </c>
      <c r="D142">
        <v>52</v>
      </c>
      <c r="E142" t="s">
        <v>130</v>
      </c>
      <c r="F142" t="s">
        <v>131</v>
      </c>
      <c r="G142" t="s">
        <v>69</v>
      </c>
      <c r="H142">
        <v>7</v>
      </c>
      <c r="I142" t="str" cm="1">
        <f t="array" ref="I142">_xlfn.IFS(H142&lt;=5, "0-5", H142&lt;=10, "6-10", H142&lt;=15, "11-15", H142&lt;=20, "16-20", H142&gt;20, "21+")</f>
        <v>6-10</v>
      </c>
      <c r="J142">
        <v>50</v>
      </c>
      <c r="K142">
        <v>0</v>
      </c>
      <c r="L142" t="s">
        <v>2086</v>
      </c>
      <c r="M142" s="1">
        <v>0.81</v>
      </c>
    </row>
    <row r="143" spans="1:13" x14ac:dyDescent="0.3">
      <c r="A143" t="s">
        <v>360</v>
      </c>
      <c r="B143" t="s">
        <v>361</v>
      </c>
      <c r="C143" t="s">
        <v>73</v>
      </c>
      <c r="D143">
        <v>34</v>
      </c>
      <c r="E143" t="s">
        <v>89</v>
      </c>
      <c r="F143" t="s">
        <v>90</v>
      </c>
      <c r="G143" t="s">
        <v>48</v>
      </c>
      <c r="H143">
        <v>9</v>
      </c>
      <c r="I143" t="str" cm="1">
        <f t="array" ref="I143">_xlfn.IFS(H143&lt;=5, "0-5", H143&lt;=10, "6-10", H143&lt;=15, "11-15", H143&lt;=20, "16-20", H143&gt;20, "21+")</f>
        <v>6-10</v>
      </c>
      <c r="J143">
        <v>20</v>
      </c>
      <c r="K143">
        <v>2.2000000000000002</v>
      </c>
      <c r="L143" t="s">
        <v>2086</v>
      </c>
      <c r="M143" s="1">
        <v>0.8</v>
      </c>
    </row>
    <row r="144" spans="1:13" x14ac:dyDescent="0.3">
      <c r="A144" t="s">
        <v>362</v>
      </c>
      <c r="B144" t="s">
        <v>363</v>
      </c>
      <c r="C144" t="s">
        <v>93</v>
      </c>
      <c r="D144">
        <v>45</v>
      </c>
      <c r="E144" t="s">
        <v>63</v>
      </c>
      <c r="F144" t="s">
        <v>21</v>
      </c>
      <c r="G144" t="s">
        <v>34</v>
      </c>
      <c r="H144">
        <v>21</v>
      </c>
      <c r="I144" t="str" cm="1">
        <f t="array" ref="I144">_xlfn.IFS(H144&lt;=5, "0-5", H144&lt;=10, "6-10", H144&lt;=15, "11-15", H144&lt;=20, "16-20", H144&gt;20, "21+")</f>
        <v>21+</v>
      </c>
      <c r="J144">
        <v>75</v>
      </c>
      <c r="K144">
        <v>3</v>
      </c>
      <c r="L144" t="s">
        <v>2086</v>
      </c>
      <c r="M144" s="1">
        <v>0.67</v>
      </c>
    </row>
    <row r="145" spans="1:13" x14ac:dyDescent="0.3">
      <c r="A145" t="s">
        <v>364</v>
      </c>
      <c r="B145" t="s">
        <v>365</v>
      </c>
      <c r="C145" t="s">
        <v>93</v>
      </c>
      <c r="D145">
        <v>46</v>
      </c>
      <c r="E145" t="s">
        <v>63</v>
      </c>
      <c r="F145" t="s">
        <v>21</v>
      </c>
      <c r="G145" t="s">
        <v>74</v>
      </c>
      <c r="H145">
        <v>7</v>
      </c>
      <c r="I145" t="str" cm="1">
        <f t="array" ref="I145">_xlfn.IFS(H145&lt;=5, "0-5", H145&lt;=10, "6-10", H145&lt;=15, "11-15", H145&lt;=20, "16-20", H145&gt;20, "21+")</f>
        <v>6-10</v>
      </c>
      <c r="J145">
        <v>20</v>
      </c>
      <c r="K145">
        <v>0</v>
      </c>
      <c r="L145" t="s">
        <v>2085</v>
      </c>
      <c r="M145" s="1">
        <v>0.82</v>
      </c>
    </row>
    <row r="146" spans="1:13" x14ac:dyDescent="0.3">
      <c r="A146" t="s">
        <v>366</v>
      </c>
      <c r="B146" t="s">
        <v>367</v>
      </c>
      <c r="C146" t="s">
        <v>93</v>
      </c>
      <c r="D146">
        <v>56</v>
      </c>
      <c r="E146" t="s">
        <v>130</v>
      </c>
      <c r="F146" t="s">
        <v>131</v>
      </c>
      <c r="G146" t="s">
        <v>69</v>
      </c>
      <c r="H146">
        <v>4</v>
      </c>
      <c r="I146" t="str" cm="1">
        <f t="array" ref="I146">_xlfn.IFS(H146&lt;=5, "0-5", H146&lt;=10, "6-10", H146&lt;=15, "11-15", H146&lt;=20, "16-20", H146&gt;20, "21+")</f>
        <v>0-5</v>
      </c>
      <c r="J146">
        <v>100</v>
      </c>
      <c r="K146">
        <v>0</v>
      </c>
      <c r="L146" t="s">
        <v>2086</v>
      </c>
      <c r="M146" s="1">
        <v>0.78</v>
      </c>
    </row>
    <row r="147" spans="1:13" x14ac:dyDescent="0.3">
      <c r="A147" t="s">
        <v>368</v>
      </c>
      <c r="B147" t="s">
        <v>369</v>
      </c>
      <c r="C147" t="s">
        <v>73</v>
      </c>
      <c r="D147">
        <v>59</v>
      </c>
      <c r="E147" t="s">
        <v>27</v>
      </c>
      <c r="F147" t="s">
        <v>28</v>
      </c>
      <c r="G147" t="s">
        <v>42</v>
      </c>
      <c r="H147">
        <v>7</v>
      </c>
      <c r="I147" t="str" cm="1">
        <f t="array" ref="I147">_xlfn.IFS(H147&lt;=5, "0-5", H147&lt;=10, "6-10", H147&lt;=15, "11-15", H147&lt;=20, "16-20", H147&gt;20, "21+")</f>
        <v>6-10</v>
      </c>
      <c r="J147">
        <v>40</v>
      </c>
      <c r="K147">
        <v>1.4</v>
      </c>
      <c r="L147" t="s">
        <v>2085</v>
      </c>
      <c r="M147" s="1">
        <v>0.81</v>
      </c>
    </row>
    <row r="148" spans="1:13" x14ac:dyDescent="0.3">
      <c r="A148" t="s">
        <v>370</v>
      </c>
      <c r="B148" t="s">
        <v>371</v>
      </c>
      <c r="C148" t="s">
        <v>73</v>
      </c>
      <c r="D148">
        <v>54</v>
      </c>
      <c r="E148" t="s">
        <v>134</v>
      </c>
      <c r="F148" t="s">
        <v>135</v>
      </c>
      <c r="G148" t="s">
        <v>16</v>
      </c>
      <c r="H148">
        <v>0</v>
      </c>
      <c r="I148" t="str" cm="1">
        <f t="array" ref="I148">_xlfn.IFS(H148&lt;=5, "0-5", H148&lt;=10, "6-10", H148&lt;=15, "11-15", H148&lt;=20, "16-20", H148&gt;20, "21+")</f>
        <v>0-5</v>
      </c>
      <c r="K148">
        <v>1.4</v>
      </c>
      <c r="L148" t="s">
        <v>2086</v>
      </c>
      <c r="M148" s="1">
        <v>0.74</v>
      </c>
    </row>
    <row r="149" spans="1:13" x14ac:dyDescent="0.3">
      <c r="A149" t="s">
        <v>372</v>
      </c>
      <c r="B149" t="s">
        <v>373</v>
      </c>
      <c r="C149" t="s">
        <v>93</v>
      </c>
      <c r="D149">
        <v>36</v>
      </c>
      <c r="E149" t="s">
        <v>27</v>
      </c>
      <c r="F149" t="s">
        <v>28</v>
      </c>
      <c r="G149" t="s">
        <v>69</v>
      </c>
      <c r="H149">
        <v>15</v>
      </c>
      <c r="I149" t="str" cm="1">
        <f t="array" ref="I149">_xlfn.IFS(H149&lt;=5, "0-5", H149&lt;=10, "6-10", H149&lt;=15, "11-15", H149&lt;=20, "16-20", H149&gt;20, "21+")</f>
        <v>11-15</v>
      </c>
      <c r="J149">
        <v>30</v>
      </c>
      <c r="K149">
        <v>0</v>
      </c>
      <c r="L149" t="s">
        <v>2085</v>
      </c>
      <c r="M149" s="1">
        <v>0.88</v>
      </c>
    </row>
    <row r="150" spans="1:13" x14ac:dyDescent="0.3">
      <c r="A150" t="s">
        <v>374</v>
      </c>
      <c r="B150" t="s">
        <v>375</v>
      </c>
      <c r="C150" t="s">
        <v>93</v>
      </c>
      <c r="D150">
        <v>25</v>
      </c>
      <c r="E150" t="s">
        <v>173</v>
      </c>
      <c r="F150" t="s">
        <v>68</v>
      </c>
      <c r="G150" t="s">
        <v>48</v>
      </c>
      <c r="H150">
        <v>10</v>
      </c>
      <c r="I150" t="str" cm="1">
        <f t="array" ref="I150">_xlfn.IFS(H150&lt;=5, "0-5", H150&lt;=10, "6-10", H150&lt;=15, "11-15", H150&lt;=20, "16-20", H150&gt;20, "21+")</f>
        <v>6-10</v>
      </c>
      <c r="J150">
        <v>40</v>
      </c>
      <c r="K150">
        <v>0</v>
      </c>
      <c r="L150" t="s">
        <v>2085</v>
      </c>
      <c r="M150" s="1">
        <v>0.9</v>
      </c>
    </row>
    <row r="151" spans="1:13" x14ac:dyDescent="0.3">
      <c r="A151" t="s">
        <v>376</v>
      </c>
      <c r="B151" t="s">
        <v>377</v>
      </c>
      <c r="C151" t="s">
        <v>73</v>
      </c>
      <c r="D151">
        <v>37</v>
      </c>
      <c r="E151" t="s">
        <v>119</v>
      </c>
      <c r="F151" t="s">
        <v>120</v>
      </c>
      <c r="G151" t="s">
        <v>48</v>
      </c>
      <c r="H151">
        <v>11</v>
      </c>
      <c r="I151" t="str" cm="1">
        <f t="array" ref="I151">_xlfn.IFS(H151&lt;=5, "0-5", H151&lt;=10, "6-10", H151&lt;=15, "11-15", H151&lt;=20, "16-20", H151&gt;20, "21+")</f>
        <v>11-15</v>
      </c>
      <c r="J151">
        <v>40</v>
      </c>
      <c r="K151">
        <v>2.9</v>
      </c>
      <c r="L151" t="s">
        <v>2085</v>
      </c>
    </row>
    <row r="152" spans="1:13" x14ac:dyDescent="0.3">
      <c r="A152" t="s">
        <v>378</v>
      </c>
      <c r="B152" t="s">
        <v>379</v>
      </c>
      <c r="C152" t="s">
        <v>93</v>
      </c>
      <c r="E152" t="s">
        <v>59</v>
      </c>
      <c r="F152" t="s">
        <v>60</v>
      </c>
      <c r="G152" t="s">
        <v>48</v>
      </c>
      <c r="H152">
        <v>12</v>
      </c>
      <c r="I152" t="str" cm="1">
        <f t="array" ref="I152">_xlfn.IFS(H152&lt;=5, "0-5", H152&lt;=10, "6-10", H152&lt;=15, "11-15", H152&lt;=20, "16-20", H152&gt;20, "21+")</f>
        <v>11-15</v>
      </c>
      <c r="J152">
        <v>40</v>
      </c>
      <c r="K152">
        <v>0</v>
      </c>
    </row>
    <row r="153" spans="1:13" x14ac:dyDescent="0.3">
      <c r="A153" t="s">
        <v>380</v>
      </c>
      <c r="B153" t="s">
        <v>381</v>
      </c>
      <c r="C153" t="s">
        <v>93</v>
      </c>
      <c r="D153">
        <v>29</v>
      </c>
      <c r="E153" t="s">
        <v>184</v>
      </c>
      <c r="F153" t="s">
        <v>68</v>
      </c>
      <c r="G153" t="s">
        <v>48</v>
      </c>
      <c r="H153">
        <v>20</v>
      </c>
      <c r="I153" t="str" cm="1">
        <f t="array" ref="I153">_xlfn.IFS(H153&lt;=5, "0-5", H153&lt;=10, "6-10", H153&lt;=15, "11-15", H153&lt;=20, "16-20", H153&gt;20, "21+")</f>
        <v>16-20</v>
      </c>
      <c r="J153">
        <v>20</v>
      </c>
      <c r="K153">
        <v>2.7</v>
      </c>
      <c r="L153" t="s">
        <v>2085</v>
      </c>
      <c r="M153" s="1">
        <v>0.93</v>
      </c>
    </row>
    <row r="154" spans="1:13" x14ac:dyDescent="0.3">
      <c r="A154" t="s">
        <v>382</v>
      </c>
      <c r="B154" t="s">
        <v>383</v>
      </c>
      <c r="C154" t="s">
        <v>73</v>
      </c>
      <c r="D154">
        <v>55</v>
      </c>
      <c r="E154" t="s">
        <v>67</v>
      </c>
      <c r="F154" t="s">
        <v>68</v>
      </c>
      <c r="G154" t="s">
        <v>22</v>
      </c>
      <c r="H154">
        <v>29</v>
      </c>
      <c r="I154" t="str" cm="1">
        <f t="array" ref="I154">_xlfn.IFS(H154&lt;=5, "0-5", H154&lt;=10, "6-10", H154&lt;=15, "11-15", H154&lt;=20, "16-20", H154&gt;20, "21+")</f>
        <v>21+</v>
      </c>
      <c r="J154">
        <v>100</v>
      </c>
      <c r="K154">
        <v>1.8</v>
      </c>
      <c r="L154" t="s">
        <v>2086</v>
      </c>
    </row>
    <row r="155" spans="1:13" x14ac:dyDescent="0.3">
      <c r="A155" t="s">
        <v>384</v>
      </c>
      <c r="B155" t="s">
        <v>385</v>
      </c>
      <c r="C155" t="s">
        <v>73</v>
      </c>
      <c r="D155">
        <v>38</v>
      </c>
      <c r="E155" t="s">
        <v>81</v>
      </c>
      <c r="F155" t="s">
        <v>82</v>
      </c>
      <c r="G155" t="s">
        <v>85</v>
      </c>
      <c r="H155">
        <v>15</v>
      </c>
      <c r="I155" t="str" cm="1">
        <f t="array" ref="I155">_xlfn.IFS(H155&lt;=5, "0-5", H155&lt;=10, "6-10", H155&lt;=15, "11-15", H155&lt;=20, "16-20", H155&gt;20, "21+")</f>
        <v>11-15</v>
      </c>
      <c r="J155">
        <v>75</v>
      </c>
      <c r="K155">
        <v>1.1000000000000001</v>
      </c>
      <c r="L155" t="s">
        <v>2085</v>
      </c>
      <c r="M155" s="1">
        <v>0.71</v>
      </c>
    </row>
    <row r="156" spans="1:13" x14ac:dyDescent="0.3">
      <c r="A156" t="s">
        <v>386</v>
      </c>
      <c r="B156" t="s">
        <v>387</v>
      </c>
      <c r="C156" t="s">
        <v>93</v>
      </c>
      <c r="D156">
        <v>47</v>
      </c>
      <c r="E156" t="s">
        <v>108</v>
      </c>
      <c r="F156" t="s">
        <v>109</v>
      </c>
      <c r="G156" t="s">
        <v>85</v>
      </c>
      <c r="H156">
        <v>9</v>
      </c>
      <c r="I156" t="str" cm="1">
        <f t="array" ref="I156">_xlfn.IFS(H156&lt;=5, "0-5", H156&lt;=10, "6-10", H156&lt;=15, "11-15", H156&lt;=20, "16-20", H156&gt;20, "21+")</f>
        <v>6-10</v>
      </c>
      <c r="J156">
        <v>40</v>
      </c>
      <c r="K156">
        <v>4.3</v>
      </c>
      <c r="L156" t="s">
        <v>2086</v>
      </c>
      <c r="M156" s="1">
        <v>0.95</v>
      </c>
    </row>
    <row r="157" spans="1:13" x14ac:dyDescent="0.3">
      <c r="A157" t="s">
        <v>388</v>
      </c>
      <c r="B157" t="s">
        <v>389</v>
      </c>
      <c r="C157" t="s">
        <v>93</v>
      </c>
      <c r="D157">
        <v>60</v>
      </c>
      <c r="E157" t="s">
        <v>103</v>
      </c>
      <c r="F157" t="s">
        <v>104</v>
      </c>
      <c r="G157" t="s">
        <v>34</v>
      </c>
      <c r="I157" t="str" cm="1">
        <f t="array" ref="I157">_xlfn.IFS(H157&lt;=5, "0-5", H157&lt;=10, "6-10", H157&lt;=15, "11-15", H157&lt;=20, "16-20", H157&gt;20, "21+")</f>
        <v>0-5</v>
      </c>
      <c r="J157">
        <v>100</v>
      </c>
      <c r="K157">
        <v>1.5</v>
      </c>
      <c r="L157" t="s">
        <v>2085</v>
      </c>
      <c r="M157" s="1">
        <v>0.8</v>
      </c>
    </row>
    <row r="158" spans="1:13" x14ac:dyDescent="0.3">
      <c r="A158" t="s">
        <v>390</v>
      </c>
      <c r="B158" t="s">
        <v>391</v>
      </c>
      <c r="C158" t="s">
        <v>73</v>
      </c>
      <c r="D158">
        <v>43</v>
      </c>
      <c r="E158" t="s">
        <v>14</v>
      </c>
      <c r="F158" t="s">
        <v>15</v>
      </c>
      <c r="G158" t="s">
        <v>48</v>
      </c>
      <c r="H158">
        <v>2</v>
      </c>
      <c r="I158" t="str" cm="1">
        <f t="array" ref="I158">_xlfn.IFS(H158&lt;=5, "0-5", H158&lt;=10, "6-10", H158&lt;=15, "11-15", H158&lt;=20, "16-20", H158&gt;20, "21+")</f>
        <v>0-5</v>
      </c>
      <c r="J158">
        <v>20</v>
      </c>
      <c r="K158">
        <v>2.2000000000000002</v>
      </c>
      <c r="L158" t="s">
        <v>2085</v>
      </c>
    </row>
    <row r="159" spans="1:13" x14ac:dyDescent="0.3">
      <c r="A159" t="s">
        <v>392</v>
      </c>
      <c r="B159" t="s">
        <v>393</v>
      </c>
      <c r="C159" t="s">
        <v>93</v>
      </c>
      <c r="D159">
        <v>56</v>
      </c>
      <c r="E159" t="s">
        <v>148</v>
      </c>
      <c r="F159" t="s">
        <v>149</v>
      </c>
      <c r="G159" t="s">
        <v>48</v>
      </c>
      <c r="H159">
        <v>0</v>
      </c>
      <c r="I159" t="str" cm="1">
        <f t="array" ref="I159">_xlfn.IFS(H159&lt;=5, "0-5", H159&lt;=10, "6-10", H159&lt;=15, "11-15", H159&lt;=20, "16-20", H159&gt;20, "21+")</f>
        <v>0-5</v>
      </c>
      <c r="J159">
        <v>100</v>
      </c>
      <c r="K159">
        <v>3.2</v>
      </c>
      <c r="L159" t="s">
        <v>2085</v>
      </c>
      <c r="M159" s="1">
        <v>0.62</v>
      </c>
    </row>
    <row r="160" spans="1:13" x14ac:dyDescent="0.3">
      <c r="A160" t="s">
        <v>394</v>
      </c>
      <c r="B160" t="s">
        <v>395</v>
      </c>
      <c r="C160" t="s">
        <v>93</v>
      </c>
      <c r="D160">
        <v>42</v>
      </c>
      <c r="E160" t="s">
        <v>119</v>
      </c>
      <c r="F160" t="s">
        <v>120</v>
      </c>
      <c r="G160" t="s">
        <v>85</v>
      </c>
      <c r="H160">
        <v>12</v>
      </c>
      <c r="I160" t="str" cm="1">
        <f t="array" ref="I160">_xlfn.IFS(H160&lt;=5, "0-5", H160&lt;=10, "6-10", H160&lt;=15, "11-15", H160&lt;=20, "16-20", H160&gt;20, "21+")</f>
        <v>11-15</v>
      </c>
      <c r="J160">
        <v>50</v>
      </c>
      <c r="K160">
        <v>1.9</v>
      </c>
      <c r="L160" t="s">
        <v>2085</v>
      </c>
      <c r="M160" s="1">
        <v>0.95</v>
      </c>
    </row>
    <row r="161" spans="1:13" x14ac:dyDescent="0.3">
      <c r="A161" t="s">
        <v>396</v>
      </c>
      <c r="B161" t="s">
        <v>397</v>
      </c>
      <c r="C161" t="s">
        <v>73</v>
      </c>
      <c r="D161">
        <v>20</v>
      </c>
      <c r="E161" t="s">
        <v>184</v>
      </c>
      <c r="F161" t="s">
        <v>68</v>
      </c>
      <c r="G161" t="s">
        <v>29</v>
      </c>
      <c r="H161">
        <v>12</v>
      </c>
      <c r="I161" t="str" cm="1">
        <f t="array" ref="I161">_xlfn.IFS(H161&lt;=5, "0-5", H161&lt;=10, "6-10", H161&lt;=15, "11-15", H161&lt;=20, "16-20", H161&gt;20, "21+")</f>
        <v>11-15</v>
      </c>
      <c r="J161">
        <v>40</v>
      </c>
      <c r="K161">
        <v>2.5</v>
      </c>
      <c r="L161" t="s">
        <v>2085</v>
      </c>
      <c r="M161" s="1">
        <v>0.79</v>
      </c>
    </row>
    <row r="162" spans="1:13" x14ac:dyDescent="0.3">
      <c r="A162" t="s">
        <v>398</v>
      </c>
      <c r="B162" t="s">
        <v>399</v>
      </c>
      <c r="C162" t="s">
        <v>73</v>
      </c>
      <c r="D162">
        <v>47</v>
      </c>
      <c r="E162" t="s">
        <v>46</v>
      </c>
      <c r="F162" t="s">
        <v>47</v>
      </c>
      <c r="G162" t="s">
        <v>69</v>
      </c>
      <c r="H162">
        <v>15</v>
      </c>
      <c r="I162" t="str" cm="1">
        <f t="array" ref="I162">_xlfn.IFS(H162&lt;=5, "0-5", H162&lt;=10, "6-10", H162&lt;=15, "11-15", H162&lt;=20, "16-20", H162&gt;20, "21+")</f>
        <v>11-15</v>
      </c>
      <c r="J162">
        <v>40</v>
      </c>
      <c r="K162">
        <v>4.5</v>
      </c>
      <c r="L162" t="s">
        <v>2085</v>
      </c>
      <c r="M162" s="1">
        <v>0.62</v>
      </c>
    </row>
    <row r="163" spans="1:13" x14ac:dyDescent="0.3">
      <c r="A163" t="s">
        <v>400</v>
      </c>
      <c r="B163" t="s">
        <v>401</v>
      </c>
      <c r="C163" t="s">
        <v>93</v>
      </c>
      <c r="E163" t="s">
        <v>67</v>
      </c>
      <c r="F163" t="s">
        <v>68</v>
      </c>
      <c r="G163" t="s">
        <v>48</v>
      </c>
      <c r="H163">
        <v>29</v>
      </c>
      <c r="I163" t="str" cm="1">
        <f t="array" ref="I163">_xlfn.IFS(H163&lt;=5, "0-5", H163&lt;=10, "6-10", H163&lt;=15, "11-15", H163&lt;=20, "16-20", H163&gt;20, "21+")</f>
        <v>21+</v>
      </c>
      <c r="J163">
        <v>30</v>
      </c>
      <c r="K163">
        <v>4.0999999999999996</v>
      </c>
      <c r="L163" t="s">
        <v>2085</v>
      </c>
      <c r="M163" s="1">
        <v>0.68</v>
      </c>
    </row>
    <row r="164" spans="1:13" x14ac:dyDescent="0.3">
      <c r="A164" t="s">
        <v>402</v>
      </c>
      <c r="B164" t="s">
        <v>403</v>
      </c>
      <c r="C164" t="s">
        <v>93</v>
      </c>
      <c r="D164">
        <v>56</v>
      </c>
      <c r="E164" t="s">
        <v>46</v>
      </c>
      <c r="F164" t="s">
        <v>47</v>
      </c>
      <c r="G164" t="s">
        <v>85</v>
      </c>
      <c r="H164">
        <v>15</v>
      </c>
      <c r="I164" t="str" cm="1">
        <f t="array" ref="I164">_xlfn.IFS(H164&lt;=5, "0-5", H164&lt;=10, "6-10", H164&lt;=15, "11-15", H164&lt;=20, "16-20", H164&gt;20, "21+")</f>
        <v>11-15</v>
      </c>
      <c r="J164">
        <v>75</v>
      </c>
      <c r="K164">
        <v>0</v>
      </c>
      <c r="L164" t="s">
        <v>2085</v>
      </c>
    </row>
    <row r="165" spans="1:13" x14ac:dyDescent="0.3">
      <c r="A165" t="s">
        <v>404</v>
      </c>
      <c r="B165" t="s">
        <v>405</v>
      </c>
      <c r="C165" t="s">
        <v>93</v>
      </c>
      <c r="D165">
        <v>59</v>
      </c>
      <c r="E165" t="s">
        <v>63</v>
      </c>
      <c r="F165" t="s">
        <v>21</v>
      </c>
      <c r="G165" t="s">
        <v>85</v>
      </c>
      <c r="I165" t="str" cm="1">
        <f t="array" ref="I165">_xlfn.IFS(H165&lt;=5, "0-5", H165&lt;=10, "6-10", H165&lt;=15, "11-15", H165&lt;=20, "16-20", H165&gt;20, "21+")</f>
        <v>0-5</v>
      </c>
      <c r="J165">
        <v>75</v>
      </c>
      <c r="L165" t="s">
        <v>2085</v>
      </c>
      <c r="M165" s="1">
        <v>0.8</v>
      </c>
    </row>
    <row r="166" spans="1:13" x14ac:dyDescent="0.3">
      <c r="A166" t="s">
        <v>406</v>
      </c>
      <c r="B166" t="s">
        <v>407</v>
      </c>
      <c r="C166" t="s">
        <v>93</v>
      </c>
      <c r="D166">
        <v>56</v>
      </c>
      <c r="E166" t="s">
        <v>81</v>
      </c>
      <c r="F166" t="s">
        <v>82</v>
      </c>
      <c r="G166" t="s">
        <v>74</v>
      </c>
      <c r="H166">
        <v>33</v>
      </c>
      <c r="I166" t="str" cm="1">
        <f t="array" ref="I166">_xlfn.IFS(H166&lt;=5, "0-5", H166&lt;=10, "6-10", H166&lt;=15, "11-15", H166&lt;=20, "16-20", H166&gt;20, "21+")</f>
        <v>21+</v>
      </c>
      <c r="J166">
        <v>40</v>
      </c>
      <c r="K166">
        <v>3.7</v>
      </c>
      <c r="M166" s="1">
        <v>0.92</v>
      </c>
    </row>
    <row r="167" spans="1:13" x14ac:dyDescent="0.3">
      <c r="A167" t="s">
        <v>408</v>
      </c>
      <c r="B167" t="s">
        <v>409</v>
      </c>
      <c r="C167" t="s">
        <v>73</v>
      </c>
      <c r="D167">
        <v>31</v>
      </c>
      <c r="E167" t="s">
        <v>148</v>
      </c>
      <c r="F167" t="s">
        <v>149</v>
      </c>
      <c r="G167" t="s">
        <v>34</v>
      </c>
      <c r="H167">
        <v>10</v>
      </c>
      <c r="I167" t="str" cm="1">
        <f t="array" ref="I167">_xlfn.IFS(H167&lt;=5, "0-5", H167&lt;=10, "6-10", H167&lt;=15, "11-15", H167&lt;=20, "16-20", H167&gt;20, "21+")</f>
        <v>6-10</v>
      </c>
      <c r="J167">
        <v>75</v>
      </c>
      <c r="K167">
        <v>1.3</v>
      </c>
      <c r="L167" t="s">
        <v>2086</v>
      </c>
      <c r="M167" s="1">
        <v>0.65</v>
      </c>
    </row>
    <row r="168" spans="1:13" x14ac:dyDescent="0.3">
      <c r="A168" t="s">
        <v>410</v>
      </c>
      <c r="B168" t="s">
        <v>411</v>
      </c>
      <c r="C168" t="s">
        <v>93</v>
      </c>
      <c r="D168">
        <v>60</v>
      </c>
      <c r="E168" t="s">
        <v>108</v>
      </c>
      <c r="F168" t="s">
        <v>109</v>
      </c>
      <c r="G168" t="s">
        <v>22</v>
      </c>
      <c r="H168">
        <v>20</v>
      </c>
      <c r="I168" t="str" cm="1">
        <f t="array" ref="I168">_xlfn.IFS(H168&lt;=5, "0-5", H168&lt;=10, "6-10", H168&lt;=15, "11-15", H168&lt;=20, "16-20", H168&gt;20, "21+")</f>
        <v>16-20</v>
      </c>
      <c r="J168">
        <v>40</v>
      </c>
      <c r="K168">
        <v>3.6</v>
      </c>
      <c r="L168" t="s">
        <v>2086</v>
      </c>
      <c r="M168" s="1">
        <v>0.87</v>
      </c>
    </row>
    <row r="169" spans="1:13" x14ac:dyDescent="0.3">
      <c r="A169" t="s">
        <v>412</v>
      </c>
      <c r="B169" t="s">
        <v>413</v>
      </c>
      <c r="C169" t="s">
        <v>73</v>
      </c>
      <c r="D169">
        <v>31</v>
      </c>
      <c r="E169" t="s">
        <v>123</v>
      </c>
      <c r="F169" t="s">
        <v>21</v>
      </c>
      <c r="G169" t="s">
        <v>34</v>
      </c>
      <c r="H169">
        <v>23</v>
      </c>
      <c r="I169" t="str" cm="1">
        <f t="array" ref="I169">_xlfn.IFS(H169&lt;=5, "0-5", H169&lt;=10, "6-10", H169&lt;=15, "11-15", H169&lt;=20, "16-20", H169&gt;20, "21+")</f>
        <v>21+</v>
      </c>
      <c r="J169">
        <v>75</v>
      </c>
      <c r="K169">
        <v>0</v>
      </c>
      <c r="L169" t="s">
        <v>2085</v>
      </c>
      <c r="M169" s="1">
        <v>0.7</v>
      </c>
    </row>
    <row r="170" spans="1:13" x14ac:dyDescent="0.3">
      <c r="A170" t="s">
        <v>414</v>
      </c>
      <c r="B170" t="s">
        <v>415</v>
      </c>
      <c r="C170" t="s">
        <v>93</v>
      </c>
      <c r="D170">
        <v>60</v>
      </c>
      <c r="E170" t="s">
        <v>67</v>
      </c>
      <c r="F170" t="s">
        <v>68</v>
      </c>
      <c r="G170" t="s">
        <v>74</v>
      </c>
      <c r="I170" t="str" cm="1">
        <f t="array" ref="I170">_xlfn.IFS(H170&lt;=5, "0-5", H170&lt;=10, "6-10", H170&lt;=15, "11-15", H170&lt;=20, "16-20", H170&gt;20, "21+")</f>
        <v>0-5</v>
      </c>
      <c r="J170">
        <v>40</v>
      </c>
      <c r="K170">
        <v>1.4</v>
      </c>
      <c r="L170" t="s">
        <v>2085</v>
      </c>
      <c r="M170" s="1">
        <v>0.87</v>
      </c>
    </row>
    <row r="171" spans="1:13" x14ac:dyDescent="0.3">
      <c r="A171" t="s">
        <v>416</v>
      </c>
      <c r="B171" t="s">
        <v>417</v>
      </c>
      <c r="C171" t="s">
        <v>93</v>
      </c>
      <c r="D171">
        <v>46</v>
      </c>
      <c r="E171" t="s">
        <v>130</v>
      </c>
      <c r="F171" t="s">
        <v>131</v>
      </c>
      <c r="G171" t="s">
        <v>85</v>
      </c>
      <c r="H171">
        <v>0</v>
      </c>
      <c r="I171" t="str" cm="1">
        <f t="array" ref="I171">_xlfn.IFS(H171&lt;=5, "0-5", H171&lt;=10, "6-10", H171&lt;=15, "11-15", H171&lt;=20, "16-20", H171&gt;20, "21+")</f>
        <v>0-5</v>
      </c>
      <c r="J171">
        <v>20</v>
      </c>
      <c r="K171">
        <v>2.9</v>
      </c>
      <c r="L171" t="s">
        <v>2085</v>
      </c>
      <c r="M171" s="1">
        <v>0.72</v>
      </c>
    </row>
    <row r="172" spans="1:13" x14ac:dyDescent="0.3">
      <c r="A172" t="s">
        <v>418</v>
      </c>
      <c r="B172" t="s">
        <v>419</v>
      </c>
      <c r="C172" t="s">
        <v>73</v>
      </c>
      <c r="E172" t="s">
        <v>40</v>
      </c>
      <c r="F172" t="s">
        <v>41</v>
      </c>
      <c r="G172" t="s">
        <v>16</v>
      </c>
      <c r="H172">
        <v>7</v>
      </c>
      <c r="I172" t="str" cm="1">
        <f t="array" ref="I172">_xlfn.IFS(H172&lt;=5, "0-5", H172&lt;=10, "6-10", H172&lt;=15, "11-15", H172&lt;=20, "16-20", H172&gt;20, "21+")</f>
        <v>6-10</v>
      </c>
      <c r="J172">
        <v>40</v>
      </c>
      <c r="K172">
        <v>2.8</v>
      </c>
      <c r="L172" t="s">
        <v>2085</v>
      </c>
      <c r="M172" s="1">
        <v>0.8</v>
      </c>
    </row>
    <row r="173" spans="1:13" x14ac:dyDescent="0.3">
      <c r="A173" t="s">
        <v>420</v>
      </c>
      <c r="B173" t="s">
        <v>421</v>
      </c>
      <c r="C173" t="s">
        <v>93</v>
      </c>
      <c r="D173">
        <v>34</v>
      </c>
      <c r="E173" t="s">
        <v>81</v>
      </c>
      <c r="F173" t="s">
        <v>82</v>
      </c>
      <c r="G173" t="s">
        <v>69</v>
      </c>
      <c r="H173">
        <v>4</v>
      </c>
      <c r="I173" t="str" cm="1">
        <f t="array" ref="I173">_xlfn.IFS(H173&lt;=5, "0-5", H173&lt;=10, "6-10", H173&lt;=15, "11-15", H173&lt;=20, "16-20", H173&gt;20, "21+")</f>
        <v>0-5</v>
      </c>
      <c r="J173">
        <v>20</v>
      </c>
      <c r="K173">
        <v>1.7</v>
      </c>
      <c r="L173" t="s">
        <v>2085</v>
      </c>
      <c r="M173" s="1">
        <v>0.66</v>
      </c>
    </row>
    <row r="174" spans="1:13" x14ac:dyDescent="0.3">
      <c r="A174" t="s">
        <v>422</v>
      </c>
      <c r="B174" t="s">
        <v>423</v>
      </c>
      <c r="C174" t="s">
        <v>73</v>
      </c>
      <c r="D174">
        <v>42</v>
      </c>
      <c r="E174" t="s">
        <v>40</v>
      </c>
      <c r="F174" t="s">
        <v>41</v>
      </c>
      <c r="G174" t="s">
        <v>29</v>
      </c>
      <c r="H174">
        <v>9</v>
      </c>
      <c r="I174" t="str" cm="1">
        <f t="array" ref="I174">_xlfn.IFS(H174&lt;=5, "0-5", H174&lt;=10, "6-10", H174&lt;=15, "11-15", H174&lt;=20, "16-20", H174&gt;20, "21+")</f>
        <v>6-10</v>
      </c>
      <c r="J174">
        <v>40</v>
      </c>
      <c r="K174">
        <v>0</v>
      </c>
      <c r="L174" t="s">
        <v>2086</v>
      </c>
    </row>
    <row r="175" spans="1:13" x14ac:dyDescent="0.3">
      <c r="A175" t="s">
        <v>424</v>
      </c>
      <c r="B175" t="s">
        <v>425</v>
      </c>
      <c r="C175" t="s">
        <v>93</v>
      </c>
      <c r="D175">
        <v>31</v>
      </c>
      <c r="E175" t="s">
        <v>63</v>
      </c>
      <c r="F175" t="s">
        <v>21</v>
      </c>
      <c r="G175" t="s">
        <v>48</v>
      </c>
      <c r="H175">
        <v>17</v>
      </c>
      <c r="I175" t="str" cm="1">
        <f t="array" ref="I175">_xlfn.IFS(H175&lt;=5, "0-5", H175&lt;=10, "6-10", H175&lt;=15, "11-15", H175&lt;=20, "16-20", H175&gt;20, "21+")</f>
        <v>16-20</v>
      </c>
      <c r="J175">
        <v>75</v>
      </c>
      <c r="K175">
        <v>1.1000000000000001</v>
      </c>
      <c r="L175" t="s">
        <v>2086</v>
      </c>
      <c r="M175" s="1">
        <v>0.64</v>
      </c>
    </row>
    <row r="176" spans="1:13" x14ac:dyDescent="0.3">
      <c r="A176" t="s">
        <v>426</v>
      </c>
      <c r="B176" t="s">
        <v>427</v>
      </c>
      <c r="C176" t="s">
        <v>93</v>
      </c>
      <c r="D176">
        <v>29</v>
      </c>
      <c r="E176" t="s">
        <v>103</v>
      </c>
      <c r="F176" t="s">
        <v>104</v>
      </c>
      <c r="G176" t="s">
        <v>69</v>
      </c>
      <c r="H176">
        <v>8</v>
      </c>
      <c r="I176" t="str" cm="1">
        <f t="array" ref="I176">_xlfn.IFS(H176&lt;=5, "0-5", H176&lt;=10, "6-10", H176&lt;=15, "11-15", H176&lt;=20, "16-20", H176&gt;20, "21+")</f>
        <v>6-10</v>
      </c>
      <c r="J176">
        <v>20</v>
      </c>
      <c r="M176" s="1">
        <v>0.68</v>
      </c>
    </row>
    <row r="177" spans="1:13" x14ac:dyDescent="0.3">
      <c r="A177" t="s">
        <v>428</v>
      </c>
      <c r="B177" t="s">
        <v>429</v>
      </c>
      <c r="C177" t="s">
        <v>73</v>
      </c>
      <c r="D177">
        <v>57</v>
      </c>
      <c r="E177" t="s">
        <v>20</v>
      </c>
      <c r="F177" t="s">
        <v>21</v>
      </c>
      <c r="G177" t="s">
        <v>29</v>
      </c>
      <c r="H177">
        <v>14</v>
      </c>
      <c r="I177" t="str" cm="1">
        <f t="array" ref="I177">_xlfn.IFS(H177&lt;=5, "0-5", H177&lt;=10, "6-10", H177&lt;=15, "11-15", H177&lt;=20, "16-20", H177&gt;20, "21+")</f>
        <v>11-15</v>
      </c>
      <c r="J177">
        <v>20</v>
      </c>
      <c r="K177">
        <v>3.6</v>
      </c>
      <c r="L177" t="s">
        <v>2085</v>
      </c>
      <c r="M177" s="1">
        <v>0.63</v>
      </c>
    </row>
    <row r="178" spans="1:13" x14ac:dyDescent="0.3">
      <c r="A178" t="s">
        <v>430</v>
      </c>
      <c r="B178" t="s">
        <v>431</v>
      </c>
      <c r="C178" t="s">
        <v>93</v>
      </c>
      <c r="D178">
        <v>47</v>
      </c>
      <c r="E178" t="s">
        <v>89</v>
      </c>
      <c r="F178" t="s">
        <v>90</v>
      </c>
      <c r="G178" t="s">
        <v>85</v>
      </c>
      <c r="H178">
        <v>21</v>
      </c>
      <c r="I178" t="str" cm="1">
        <f t="array" ref="I178">_xlfn.IFS(H178&lt;=5, "0-5", H178&lt;=10, "6-10", H178&lt;=15, "11-15", H178&lt;=20, "16-20", H178&gt;20, "21+")</f>
        <v>21+</v>
      </c>
      <c r="J178">
        <v>20</v>
      </c>
      <c r="K178">
        <v>4.5</v>
      </c>
      <c r="L178" t="s">
        <v>2086</v>
      </c>
      <c r="M178" s="1">
        <v>0.72</v>
      </c>
    </row>
    <row r="179" spans="1:13" x14ac:dyDescent="0.3">
      <c r="A179" t="s">
        <v>432</v>
      </c>
      <c r="B179" t="s">
        <v>433</v>
      </c>
      <c r="C179" t="s">
        <v>93</v>
      </c>
      <c r="D179">
        <v>47</v>
      </c>
      <c r="E179" t="s">
        <v>148</v>
      </c>
      <c r="F179" t="s">
        <v>149</v>
      </c>
      <c r="G179" t="s">
        <v>42</v>
      </c>
      <c r="H179">
        <v>1</v>
      </c>
      <c r="I179" t="str" cm="1">
        <f t="array" ref="I179">_xlfn.IFS(H179&lt;=5, "0-5", H179&lt;=10, "6-10", H179&lt;=15, "11-15", H179&lt;=20, "16-20", H179&gt;20, "21+")</f>
        <v>0-5</v>
      </c>
      <c r="J179">
        <v>30</v>
      </c>
      <c r="K179">
        <v>0</v>
      </c>
      <c r="L179" t="s">
        <v>2086</v>
      </c>
      <c r="M179" s="1">
        <v>0.86</v>
      </c>
    </row>
    <row r="180" spans="1:13" x14ac:dyDescent="0.3">
      <c r="A180" t="s">
        <v>434</v>
      </c>
      <c r="B180" t="s">
        <v>435</v>
      </c>
      <c r="C180" t="s">
        <v>73</v>
      </c>
      <c r="D180">
        <v>45</v>
      </c>
      <c r="E180" t="s">
        <v>130</v>
      </c>
      <c r="F180" t="s">
        <v>131</v>
      </c>
      <c r="G180" t="s">
        <v>29</v>
      </c>
      <c r="H180">
        <v>12</v>
      </c>
      <c r="I180" t="str" cm="1">
        <f t="array" ref="I180">_xlfn.IFS(H180&lt;=5, "0-5", H180&lt;=10, "6-10", H180&lt;=15, "11-15", H180&lt;=20, "16-20", H180&gt;20, "21+")</f>
        <v>11-15</v>
      </c>
      <c r="J180">
        <v>30</v>
      </c>
      <c r="K180">
        <v>1.5</v>
      </c>
      <c r="L180" t="s">
        <v>2086</v>
      </c>
      <c r="M180" s="1">
        <v>0.73</v>
      </c>
    </row>
    <row r="181" spans="1:13" x14ac:dyDescent="0.3">
      <c r="A181" t="s">
        <v>436</v>
      </c>
      <c r="B181" t="s">
        <v>437</v>
      </c>
      <c r="C181" t="s">
        <v>93</v>
      </c>
      <c r="D181">
        <v>24</v>
      </c>
      <c r="E181" t="s">
        <v>59</v>
      </c>
      <c r="F181" t="s">
        <v>60</v>
      </c>
      <c r="G181" t="s">
        <v>110</v>
      </c>
      <c r="H181">
        <v>2</v>
      </c>
      <c r="I181" t="str" cm="1">
        <f t="array" ref="I181">_xlfn.IFS(H181&lt;=5, "0-5", H181&lt;=10, "6-10", H181&lt;=15, "11-15", H181&lt;=20, "16-20", H181&gt;20, "21+")</f>
        <v>0-5</v>
      </c>
      <c r="J181">
        <v>30</v>
      </c>
      <c r="K181">
        <v>3.7</v>
      </c>
      <c r="L181" t="s">
        <v>2085</v>
      </c>
      <c r="M181" s="1">
        <v>0.95</v>
      </c>
    </row>
    <row r="182" spans="1:13" x14ac:dyDescent="0.3">
      <c r="A182" t="s">
        <v>438</v>
      </c>
      <c r="B182" t="s">
        <v>439</v>
      </c>
      <c r="C182" t="s">
        <v>73</v>
      </c>
      <c r="D182">
        <v>31</v>
      </c>
      <c r="E182" t="s">
        <v>67</v>
      </c>
      <c r="F182" t="s">
        <v>68</v>
      </c>
      <c r="G182" t="s">
        <v>22</v>
      </c>
      <c r="H182">
        <v>3</v>
      </c>
      <c r="I182" t="str" cm="1">
        <f t="array" ref="I182">_xlfn.IFS(H182&lt;=5, "0-5", H182&lt;=10, "6-10", H182&lt;=15, "11-15", H182&lt;=20, "16-20", H182&gt;20, "21+")</f>
        <v>0-5</v>
      </c>
      <c r="J182">
        <v>20</v>
      </c>
      <c r="K182">
        <v>2.2999999999999998</v>
      </c>
      <c r="L182" t="s">
        <v>2085</v>
      </c>
      <c r="M182" s="1">
        <v>0.9</v>
      </c>
    </row>
    <row r="183" spans="1:13" x14ac:dyDescent="0.3">
      <c r="A183" t="s">
        <v>440</v>
      </c>
      <c r="B183" t="s">
        <v>441</v>
      </c>
      <c r="C183" t="s">
        <v>73</v>
      </c>
      <c r="D183">
        <v>20</v>
      </c>
      <c r="E183" t="s">
        <v>173</v>
      </c>
      <c r="F183" t="s">
        <v>68</v>
      </c>
      <c r="G183" t="s">
        <v>29</v>
      </c>
      <c r="H183">
        <v>11</v>
      </c>
      <c r="I183" t="str" cm="1">
        <f t="array" ref="I183">_xlfn.IFS(H183&lt;=5, "0-5", H183&lt;=10, "6-10", H183&lt;=15, "11-15", H183&lt;=20, "16-20", H183&gt;20, "21+")</f>
        <v>11-15</v>
      </c>
      <c r="J183">
        <v>20</v>
      </c>
      <c r="K183">
        <v>2.8</v>
      </c>
      <c r="L183" t="s">
        <v>2085</v>
      </c>
      <c r="M183" s="1">
        <v>0.78</v>
      </c>
    </row>
    <row r="184" spans="1:13" x14ac:dyDescent="0.3">
      <c r="A184" t="s">
        <v>442</v>
      </c>
      <c r="B184" t="s">
        <v>443</v>
      </c>
      <c r="C184" t="s">
        <v>93</v>
      </c>
      <c r="D184">
        <v>38</v>
      </c>
      <c r="E184" t="s">
        <v>81</v>
      </c>
      <c r="F184" t="s">
        <v>82</v>
      </c>
      <c r="G184" t="s">
        <v>34</v>
      </c>
      <c r="H184">
        <v>4</v>
      </c>
      <c r="I184" t="str" cm="1">
        <f t="array" ref="I184">_xlfn.IFS(H184&lt;=5, "0-5", H184&lt;=10, "6-10", H184&lt;=15, "11-15", H184&lt;=20, "16-20", H184&gt;20, "21+")</f>
        <v>0-5</v>
      </c>
      <c r="J184">
        <v>30</v>
      </c>
      <c r="K184">
        <v>3.5</v>
      </c>
      <c r="L184" t="s">
        <v>2085</v>
      </c>
      <c r="M184" s="1">
        <v>0.97</v>
      </c>
    </row>
    <row r="185" spans="1:13" x14ac:dyDescent="0.3">
      <c r="A185" t="s">
        <v>444</v>
      </c>
      <c r="B185" t="s">
        <v>445</v>
      </c>
      <c r="C185" t="s">
        <v>73</v>
      </c>
      <c r="D185">
        <v>33</v>
      </c>
      <c r="E185" t="s">
        <v>27</v>
      </c>
      <c r="F185" t="s">
        <v>28</v>
      </c>
      <c r="G185" t="s">
        <v>69</v>
      </c>
      <c r="H185">
        <v>21</v>
      </c>
      <c r="I185" t="str" cm="1">
        <f t="array" ref="I185">_xlfn.IFS(H185&lt;=5, "0-5", H185&lt;=10, "6-10", H185&lt;=15, "11-15", H185&lt;=20, "16-20", H185&gt;20, "21+")</f>
        <v>21+</v>
      </c>
      <c r="K185">
        <v>0</v>
      </c>
      <c r="L185" t="s">
        <v>2086</v>
      </c>
      <c r="M185" s="1">
        <v>0.65</v>
      </c>
    </row>
    <row r="186" spans="1:13" x14ac:dyDescent="0.3">
      <c r="A186" t="s">
        <v>446</v>
      </c>
      <c r="B186" t="s">
        <v>447</v>
      </c>
      <c r="C186" t="s">
        <v>73</v>
      </c>
      <c r="D186">
        <v>31</v>
      </c>
      <c r="E186" t="s">
        <v>20</v>
      </c>
      <c r="F186" t="s">
        <v>21</v>
      </c>
      <c r="G186" t="s">
        <v>34</v>
      </c>
      <c r="H186">
        <v>0</v>
      </c>
      <c r="I186" t="str" cm="1">
        <f t="array" ref="I186">_xlfn.IFS(H186&lt;=5, "0-5", H186&lt;=10, "6-10", H186&lt;=15, "11-15", H186&lt;=20, "16-20", H186&gt;20, "21+")</f>
        <v>0-5</v>
      </c>
      <c r="J186">
        <v>40</v>
      </c>
      <c r="K186">
        <v>3.2</v>
      </c>
      <c r="L186" t="s">
        <v>2086</v>
      </c>
      <c r="M186" s="1">
        <v>0.78</v>
      </c>
    </row>
    <row r="187" spans="1:13" x14ac:dyDescent="0.3">
      <c r="A187" t="s">
        <v>448</v>
      </c>
      <c r="B187" t="s">
        <v>449</v>
      </c>
      <c r="C187" t="s">
        <v>93</v>
      </c>
      <c r="D187">
        <v>41</v>
      </c>
      <c r="E187" t="s">
        <v>184</v>
      </c>
      <c r="F187" t="s">
        <v>68</v>
      </c>
      <c r="G187" t="s">
        <v>110</v>
      </c>
      <c r="H187">
        <v>6</v>
      </c>
      <c r="I187" t="str" cm="1">
        <f t="array" ref="I187">_xlfn.IFS(H187&lt;=5, "0-5", H187&lt;=10, "6-10", H187&lt;=15, "11-15", H187&lt;=20, "16-20", H187&gt;20, "21+")</f>
        <v>6-10</v>
      </c>
      <c r="J187">
        <v>50</v>
      </c>
      <c r="K187">
        <v>3.3</v>
      </c>
      <c r="L187" t="s">
        <v>2086</v>
      </c>
      <c r="M187" s="1">
        <v>0.65</v>
      </c>
    </row>
    <row r="188" spans="1:13" x14ac:dyDescent="0.3">
      <c r="A188" t="s">
        <v>450</v>
      </c>
      <c r="B188" t="s">
        <v>451</v>
      </c>
      <c r="C188" t="s">
        <v>93</v>
      </c>
      <c r="D188">
        <v>54</v>
      </c>
      <c r="E188" t="s">
        <v>59</v>
      </c>
      <c r="F188" t="s">
        <v>60</v>
      </c>
      <c r="G188" t="s">
        <v>34</v>
      </c>
      <c r="H188">
        <v>18</v>
      </c>
      <c r="I188" t="str" cm="1">
        <f t="array" ref="I188">_xlfn.IFS(H188&lt;=5, "0-5", H188&lt;=10, "6-10", H188&lt;=15, "11-15", H188&lt;=20, "16-20", H188&gt;20, "21+")</f>
        <v>16-20</v>
      </c>
      <c r="J188">
        <v>20</v>
      </c>
      <c r="K188">
        <v>4.9000000000000004</v>
      </c>
    </row>
    <row r="189" spans="1:13" x14ac:dyDescent="0.3">
      <c r="A189" t="s">
        <v>452</v>
      </c>
      <c r="B189" t="s">
        <v>453</v>
      </c>
      <c r="C189" t="s">
        <v>93</v>
      </c>
      <c r="D189">
        <v>50</v>
      </c>
      <c r="E189" t="s">
        <v>173</v>
      </c>
      <c r="F189" t="s">
        <v>68</v>
      </c>
      <c r="G189" t="s">
        <v>48</v>
      </c>
      <c r="I189" t="str" cm="1">
        <f t="array" ref="I189">_xlfn.IFS(H189&lt;=5, "0-5", H189&lt;=10, "6-10", H189&lt;=15, "11-15", H189&lt;=20, "16-20", H189&gt;20, "21+")</f>
        <v>0-5</v>
      </c>
      <c r="J189">
        <v>30</v>
      </c>
      <c r="K189">
        <v>2.2000000000000002</v>
      </c>
      <c r="L189" t="s">
        <v>2086</v>
      </c>
      <c r="M189" s="1">
        <v>0.95</v>
      </c>
    </row>
    <row r="190" spans="1:13" x14ac:dyDescent="0.3">
      <c r="A190" t="s">
        <v>454</v>
      </c>
      <c r="B190" t="s">
        <v>455</v>
      </c>
      <c r="C190" t="s">
        <v>93</v>
      </c>
      <c r="D190">
        <v>48</v>
      </c>
      <c r="E190" t="s">
        <v>103</v>
      </c>
      <c r="F190" t="s">
        <v>104</v>
      </c>
      <c r="G190" t="s">
        <v>110</v>
      </c>
      <c r="H190">
        <v>1</v>
      </c>
      <c r="I190" t="str" cm="1">
        <f t="array" ref="I190">_xlfn.IFS(H190&lt;=5, "0-5", H190&lt;=10, "6-10", H190&lt;=15, "11-15", H190&lt;=20, "16-20", H190&gt;20, "21+")</f>
        <v>0-5</v>
      </c>
      <c r="J190">
        <v>40</v>
      </c>
      <c r="L190" t="s">
        <v>2086</v>
      </c>
      <c r="M190" s="1">
        <v>0.88</v>
      </c>
    </row>
    <row r="191" spans="1:13" x14ac:dyDescent="0.3">
      <c r="A191" t="s">
        <v>456</v>
      </c>
      <c r="B191" t="s">
        <v>457</v>
      </c>
      <c r="C191" t="s">
        <v>73</v>
      </c>
      <c r="D191">
        <v>49</v>
      </c>
      <c r="E191" t="s">
        <v>173</v>
      </c>
      <c r="F191" t="s">
        <v>68</v>
      </c>
      <c r="G191" t="s">
        <v>29</v>
      </c>
      <c r="H191">
        <v>20</v>
      </c>
      <c r="I191" t="str" cm="1">
        <f t="array" ref="I191">_xlfn.IFS(H191&lt;=5, "0-5", H191&lt;=10, "6-10", H191&lt;=15, "11-15", H191&lt;=20, "16-20", H191&gt;20, "21+")</f>
        <v>16-20</v>
      </c>
      <c r="K191">
        <v>1.8</v>
      </c>
      <c r="L191" t="s">
        <v>2085</v>
      </c>
    </row>
    <row r="192" spans="1:13" x14ac:dyDescent="0.3">
      <c r="A192" t="s">
        <v>458</v>
      </c>
      <c r="B192" t="s">
        <v>459</v>
      </c>
      <c r="C192" t="s">
        <v>93</v>
      </c>
      <c r="D192">
        <v>21</v>
      </c>
      <c r="E192" t="s">
        <v>108</v>
      </c>
      <c r="F192" t="s">
        <v>109</v>
      </c>
      <c r="G192" t="s">
        <v>29</v>
      </c>
      <c r="I192" t="str" cm="1">
        <f t="array" ref="I192">_xlfn.IFS(H192&lt;=5, "0-5", H192&lt;=10, "6-10", H192&lt;=15, "11-15", H192&lt;=20, "16-20", H192&gt;20, "21+")</f>
        <v>0-5</v>
      </c>
      <c r="J192">
        <v>75</v>
      </c>
      <c r="K192">
        <v>4.5999999999999996</v>
      </c>
      <c r="L192" t="s">
        <v>2085</v>
      </c>
      <c r="M192" s="1">
        <v>0.92</v>
      </c>
    </row>
    <row r="193" spans="1:13" x14ac:dyDescent="0.3">
      <c r="A193" t="s">
        <v>460</v>
      </c>
      <c r="B193" t="s">
        <v>461</v>
      </c>
      <c r="C193" t="s">
        <v>93</v>
      </c>
      <c r="D193">
        <v>58</v>
      </c>
      <c r="E193" t="s">
        <v>20</v>
      </c>
      <c r="F193" t="s">
        <v>21</v>
      </c>
      <c r="G193" t="s">
        <v>29</v>
      </c>
      <c r="H193">
        <v>25</v>
      </c>
      <c r="I193" t="str" cm="1">
        <f t="array" ref="I193">_xlfn.IFS(H193&lt;=5, "0-5", H193&lt;=10, "6-10", H193&lt;=15, "11-15", H193&lt;=20, "16-20", H193&gt;20, "21+")</f>
        <v>21+</v>
      </c>
      <c r="J193">
        <v>75</v>
      </c>
      <c r="K193">
        <v>2.8</v>
      </c>
      <c r="L193" t="s">
        <v>2085</v>
      </c>
      <c r="M193" s="1">
        <v>0.75</v>
      </c>
    </row>
    <row r="194" spans="1:13" x14ac:dyDescent="0.3">
      <c r="A194" t="s">
        <v>462</v>
      </c>
      <c r="B194" t="s">
        <v>256</v>
      </c>
      <c r="C194" t="s">
        <v>93</v>
      </c>
      <c r="D194">
        <v>41</v>
      </c>
      <c r="E194" t="s">
        <v>14</v>
      </c>
      <c r="F194" t="s">
        <v>15</v>
      </c>
      <c r="G194" t="s">
        <v>85</v>
      </c>
      <c r="H194">
        <v>20</v>
      </c>
      <c r="I194" t="str" cm="1">
        <f t="array" ref="I194">_xlfn.IFS(H194&lt;=5, "0-5", H194&lt;=10, "6-10", H194&lt;=15, "11-15", H194&lt;=20, "16-20", H194&gt;20, "21+")</f>
        <v>16-20</v>
      </c>
      <c r="J194">
        <v>30</v>
      </c>
      <c r="K194">
        <v>1.4</v>
      </c>
      <c r="L194" t="s">
        <v>2085</v>
      </c>
      <c r="M194" s="1">
        <v>0.74</v>
      </c>
    </row>
    <row r="195" spans="1:13" x14ac:dyDescent="0.3">
      <c r="A195" t="s">
        <v>463</v>
      </c>
      <c r="B195" t="s">
        <v>464</v>
      </c>
      <c r="C195" t="s">
        <v>73</v>
      </c>
      <c r="D195">
        <v>58</v>
      </c>
      <c r="E195" t="s">
        <v>119</v>
      </c>
      <c r="F195" t="s">
        <v>120</v>
      </c>
      <c r="G195" t="s">
        <v>16</v>
      </c>
      <c r="H195">
        <v>33</v>
      </c>
      <c r="I195" t="str" cm="1">
        <f t="array" ref="I195">_xlfn.IFS(H195&lt;=5, "0-5", H195&lt;=10, "6-10", H195&lt;=15, "11-15", H195&lt;=20, "16-20", H195&gt;20, "21+")</f>
        <v>21+</v>
      </c>
      <c r="J195">
        <v>30</v>
      </c>
      <c r="K195">
        <v>4.2</v>
      </c>
      <c r="L195" t="s">
        <v>2086</v>
      </c>
      <c r="M195" s="1">
        <v>0.71</v>
      </c>
    </row>
    <row r="196" spans="1:13" x14ac:dyDescent="0.3">
      <c r="A196" t="s">
        <v>465</v>
      </c>
      <c r="B196" t="s">
        <v>466</v>
      </c>
      <c r="C196" t="s">
        <v>73</v>
      </c>
      <c r="D196">
        <v>50</v>
      </c>
      <c r="E196" t="s">
        <v>148</v>
      </c>
      <c r="F196" t="s">
        <v>149</v>
      </c>
      <c r="G196" t="s">
        <v>29</v>
      </c>
      <c r="H196">
        <v>6</v>
      </c>
      <c r="I196" t="str" cm="1">
        <f t="array" ref="I196">_xlfn.IFS(H196&lt;=5, "0-5", H196&lt;=10, "6-10", H196&lt;=15, "11-15", H196&lt;=20, "16-20", H196&gt;20, "21+")</f>
        <v>6-10</v>
      </c>
      <c r="J196">
        <v>40</v>
      </c>
      <c r="K196">
        <v>3.6</v>
      </c>
      <c r="L196" t="s">
        <v>2086</v>
      </c>
      <c r="M196" s="1">
        <v>0.89</v>
      </c>
    </row>
    <row r="197" spans="1:13" x14ac:dyDescent="0.3">
      <c r="A197" t="s">
        <v>467</v>
      </c>
      <c r="B197" t="s">
        <v>468</v>
      </c>
      <c r="C197" t="s">
        <v>93</v>
      </c>
      <c r="D197">
        <v>52</v>
      </c>
      <c r="E197" t="s">
        <v>46</v>
      </c>
      <c r="F197" t="s">
        <v>47</v>
      </c>
      <c r="G197" t="s">
        <v>34</v>
      </c>
      <c r="H197">
        <v>11</v>
      </c>
      <c r="I197" t="str" cm="1">
        <f t="array" ref="I197">_xlfn.IFS(H197&lt;=5, "0-5", H197&lt;=10, "6-10", H197&lt;=15, "11-15", H197&lt;=20, "16-20", H197&gt;20, "21+")</f>
        <v>11-15</v>
      </c>
      <c r="J197">
        <v>100</v>
      </c>
      <c r="K197">
        <v>1.6</v>
      </c>
      <c r="M197" s="1">
        <v>0.66</v>
      </c>
    </row>
    <row r="198" spans="1:13" x14ac:dyDescent="0.3">
      <c r="A198" t="s">
        <v>469</v>
      </c>
      <c r="B198" t="s">
        <v>470</v>
      </c>
      <c r="C198" t="s">
        <v>93</v>
      </c>
      <c r="D198">
        <v>34</v>
      </c>
      <c r="E198" t="s">
        <v>40</v>
      </c>
      <c r="F198" t="s">
        <v>41</v>
      </c>
      <c r="G198" t="s">
        <v>48</v>
      </c>
      <c r="H198">
        <v>28</v>
      </c>
      <c r="I198" t="str" cm="1">
        <f t="array" ref="I198">_xlfn.IFS(H198&lt;=5, "0-5", H198&lt;=10, "6-10", H198&lt;=15, "11-15", H198&lt;=20, "16-20", H198&gt;20, "21+")</f>
        <v>21+</v>
      </c>
      <c r="J198">
        <v>100</v>
      </c>
      <c r="K198">
        <v>2</v>
      </c>
      <c r="L198" t="s">
        <v>2085</v>
      </c>
    </row>
    <row r="199" spans="1:13" x14ac:dyDescent="0.3">
      <c r="A199" t="s">
        <v>471</v>
      </c>
      <c r="B199" t="s">
        <v>472</v>
      </c>
      <c r="C199" t="s">
        <v>93</v>
      </c>
      <c r="D199">
        <v>32</v>
      </c>
      <c r="E199" t="s">
        <v>130</v>
      </c>
      <c r="F199" t="s">
        <v>131</v>
      </c>
      <c r="G199" t="s">
        <v>110</v>
      </c>
      <c r="H199">
        <v>11</v>
      </c>
      <c r="I199" t="str" cm="1">
        <f t="array" ref="I199">_xlfn.IFS(H199&lt;=5, "0-5", H199&lt;=10, "6-10", H199&lt;=15, "11-15", H199&lt;=20, "16-20", H199&gt;20, "21+")</f>
        <v>11-15</v>
      </c>
      <c r="J199">
        <v>40</v>
      </c>
      <c r="K199">
        <v>4.3</v>
      </c>
      <c r="L199" t="s">
        <v>2086</v>
      </c>
      <c r="M199" s="1">
        <v>0.86</v>
      </c>
    </row>
    <row r="200" spans="1:13" x14ac:dyDescent="0.3">
      <c r="A200" t="s">
        <v>473</v>
      </c>
      <c r="B200" t="s">
        <v>474</v>
      </c>
      <c r="C200" t="s">
        <v>73</v>
      </c>
      <c r="D200">
        <v>50</v>
      </c>
      <c r="E200" t="s">
        <v>89</v>
      </c>
      <c r="F200" t="s">
        <v>90</v>
      </c>
      <c r="G200" t="s">
        <v>29</v>
      </c>
      <c r="H200">
        <v>2</v>
      </c>
      <c r="I200" t="str" cm="1">
        <f t="array" ref="I200">_xlfn.IFS(H200&lt;=5, "0-5", H200&lt;=10, "6-10", H200&lt;=15, "11-15", H200&lt;=20, "16-20", H200&gt;20, "21+")</f>
        <v>0-5</v>
      </c>
      <c r="J200">
        <v>100</v>
      </c>
      <c r="K200">
        <v>4.9000000000000004</v>
      </c>
      <c r="L200" t="s">
        <v>2086</v>
      </c>
      <c r="M200" s="1">
        <v>0.86</v>
      </c>
    </row>
    <row r="201" spans="1:13" x14ac:dyDescent="0.3">
      <c r="A201" t="s">
        <v>475</v>
      </c>
      <c r="B201" t="s">
        <v>476</v>
      </c>
      <c r="C201" t="s">
        <v>73</v>
      </c>
      <c r="D201">
        <v>39</v>
      </c>
      <c r="E201" t="s">
        <v>67</v>
      </c>
      <c r="F201" t="s">
        <v>68</v>
      </c>
      <c r="G201" t="s">
        <v>48</v>
      </c>
      <c r="H201">
        <v>7</v>
      </c>
      <c r="I201" t="str" cm="1">
        <f t="array" ref="I201">_xlfn.IFS(H201&lt;=5, "0-5", H201&lt;=10, "6-10", H201&lt;=15, "11-15", H201&lt;=20, "16-20", H201&gt;20, "21+")</f>
        <v>6-10</v>
      </c>
      <c r="J201">
        <v>100</v>
      </c>
      <c r="K201">
        <v>3.5</v>
      </c>
      <c r="L201" t="s">
        <v>2086</v>
      </c>
      <c r="M201" s="1">
        <v>0.82</v>
      </c>
    </row>
    <row r="202" spans="1:13" x14ac:dyDescent="0.3">
      <c r="A202" t="s">
        <v>477</v>
      </c>
      <c r="B202" t="s">
        <v>478</v>
      </c>
      <c r="C202" t="s">
        <v>73</v>
      </c>
      <c r="D202">
        <v>25</v>
      </c>
      <c r="E202" t="s">
        <v>184</v>
      </c>
      <c r="F202" t="s">
        <v>68</v>
      </c>
      <c r="G202" t="s">
        <v>42</v>
      </c>
      <c r="H202">
        <v>10</v>
      </c>
      <c r="I202" t="str" cm="1">
        <f t="array" ref="I202">_xlfn.IFS(H202&lt;=5, "0-5", H202&lt;=10, "6-10", H202&lt;=15, "11-15", H202&lt;=20, "16-20", H202&gt;20, "21+")</f>
        <v>6-10</v>
      </c>
      <c r="J202">
        <v>100</v>
      </c>
      <c r="K202">
        <v>2.5</v>
      </c>
      <c r="L202" t="s">
        <v>2085</v>
      </c>
      <c r="M202" s="1">
        <v>0.87</v>
      </c>
    </row>
    <row r="203" spans="1:13" x14ac:dyDescent="0.3">
      <c r="A203" t="s">
        <v>479</v>
      </c>
      <c r="B203" t="s">
        <v>480</v>
      </c>
      <c r="C203" t="s">
        <v>73</v>
      </c>
      <c r="D203">
        <v>55</v>
      </c>
      <c r="E203" t="s">
        <v>169</v>
      </c>
      <c r="F203" t="s">
        <v>170</v>
      </c>
      <c r="G203" t="s">
        <v>110</v>
      </c>
      <c r="H203">
        <v>6</v>
      </c>
      <c r="I203" t="str" cm="1">
        <f t="array" ref="I203">_xlfn.IFS(H203&lt;=5, "0-5", H203&lt;=10, "6-10", H203&lt;=15, "11-15", H203&lt;=20, "16-20", H203&gt;20, "21+")</f>
        <v>6-10</v>
      </c>
      <c r="J203">
        <v>100</v>
      </c>
      <c r="K203">
        <v>1.7</v>
      </c>
      <c r="L203" t="s">
        <v>2086</v>
      </c>
      <c r="M203" s="1">
        <v>0.8</v>
      </c>
    </row>
    <row r="204" spans="1:13" x14ac:dyDescent="0.3">
      <c r="A204" t="s">
        <v>481</v>
      </c>
      <c r="B204" t="s">
        <v>482</v>
      </c>
      <c r="C204" t="s">
        <v>93</v>
      </c>
      <c r="D204">
        <v>42</v>
      </c>
      <c r="E204" t="s">
        <v>14</v>
      </c>
      <c r="F204" t="s">
        <v>15</v>
      </c>
      <c r="G204" t="s">
        <v>85</v>
      </c>
      <c r="H204">
        <v>29</v>
      </c>
      <c r="I204" t="str" cm="1">
        <f t="array" ref="I204">_xlfn.IFS(H204&lt;=5, "0-5", H204&lt;=10, "6-10", H204&lt;=15, "11-15", H204&lt;=20, "16-20", H204&gt;20, "21+")</f>
        <v>21+</v>
      </c>
      <c r="J204">
        <v>100</v>
      </c>
      <c r="K204">
        <v>4.5999999999999996</v>
      </c>
      <c r="L204" t="s">
        <v>2086</v>
      </c>
      <c r="M204" s="1">
        <v>0.71</v>
      </c>
    </row>
    <row r="205" spans="1:13" x14ac:dyDescent="0.3">
      <c r="A205" t="s">
        <v>483</v>
      </c>
      <c r="B205" t="s">
        <v>484</v>
      </c>
      <c r="C205" t="s">
        <v>93</v>
      </c>
      <c r="D205">
        <v>43</v>
      </c>
      <c r="E205" t="s">
        <v>119</v>
      </c>
      <c r="F205" t="s">
        <v>120</v>
      </c>
      <c r="G205" t="s">
        <v>22</v>
      </c>
      <c r="H205">
        <v>0</v>
      </c>
      <c r="I205" t="str" cm="1">
        <f t="array" ref="I205">_xlfn.IFS(H205&lt;=5, "0-5", H205&lt;=10, "6-10", H205&lt;=15, "11-15", H205&lt;=20, "16-20", H205&gt;20, "21+")</f>
        <v>0-5</v>
      </c>
      <c r="J205">
        <v>50</v>
      </c>
      <c r="L205" t="s">
        <v>2085</v>
      </c>
      <c r="M205" s="1">
        <v>0.77</v>
      </c>
    </row>
    <row r="206" spans="1:13" x14ac:dyDescent="0.3">
      <c r="A206" t="s">
        <v>485</v>
      </c>
      <c r="B206" t="s">
        <v>486</v>
      </c>
      <c r="C206" t="s">
        <v>93</v>
      </c>
      <c r="D206">
        <v>54</v>
      </c>
      <c r="E206" t="s">
        <v>14</v>
      </c>
      <c r="F206" t="s">
        <v>15</v>
      </c>
      <c r="G206" t="s">
        <v>85</v>
      </c>
      <c r="H206">
        <v>5</v>
      </c>
      <c r="I206" t="str" cm="1">
        <f t="array" ref="I206">_xlfn.IFS(H206&lt;=5, "0-5", H206&lt;=10, "6-10", H206&lt;=15, "11-15", H206&lt;=20, "16-20", H206&gt;20, "21+")</f>
        <v>0-5</v>
      </c>
      <c r="J206">
        <v>30</v>
      </c>
      <c r="K206">
        <v>1.7</v>
      </c>
      <c r="L206" t="s">
        <v>2085</v>
      </c>
      <c r="M206" s="1">
        <v>0.68</v>
      </c>
    </row>
    <row r="207" spans="1:13" x14ac:dyDescent="0.3">
      <c r="A207" t="s">
        <v>487</v>
      </c>
      <c r="B207" t="s">
        <v>488</v>
      </c>
      <c r="C207" t="s">
        <v>73</v>
      </c>
      <c r="D207">
        <v>21</v>
      </c>
      <c r="E207" t="s">
        <v>134</v>
      </c>
      <c r="F207" t="s">
        <v>135</v>
      </c>
      <c r="G207" t="s">
        <v>29</v>
      </c>
      <c r="H207">
        <v>11</v>
      </c>
      <c r="I207" t="str" cm="1">
        <f t="array" ref="I207">_xlfn.IFS(H207&lt;=5, "0-5", H207&lt;=10, "6-10", H207&lt;=15, "11-15", H207&lt;=20, "16-20", H207&gt;20, "21+")</f>
        <v>11-15</v>
      </c>
      <c r="J207">
        <v>20</v>
      </c>
      <c r="K207">
        <v>1.8</v>
      </c>
      <c r="L207" t="s">
        <v>2085</v>
      </c>
      <c r="M207" s="1">
        <v>0.91</v>
      </c>
    </row>
    <row r="208" spans="1:13" x14ac:dyDescent="0.3">
      <c r="A208" t="s">
        <v>489</v>
      </c>
      <c r="B208" t="s">
        <v>490</v>
      </c>
      <c r="C208" t="s">
        <v>93</v>
      </c>
      <c r="D208">
        <v>46</v>
      </c>
      <c r="E208" t="s">
        <v>123</v>
      </c>
      <c r="F208" t="s">
        <v>21</v>
      </c>
      <c r="G208" t="s">
        <v>69</v>
      </c>
      <c r="H208">
        <v>11</v>
      </c>
      <c r="I208" t="str" cm="1">
        <f t="array" ref="I208">_xlfn.IFS(H208&lt;=5, "0-5", H208&lt;=10, "6-10", H208&lt;=15, "11-15", H208&lt;=20, "16-20", H208&gt;20, "21+")</f>
        <v>11-15</v>
      </c>
      <c r="J208">
        <v>20</v>
      </c>
      <c r="K208">
        <v>2.2000000000000002</v>
      </c>
      <c r="L208" t="s">
        <v>2085</v>
      </c>
      <c r="M208" s="1">
        <v>0.75</v>
      </c>
    </row>
    <row r="209" spans="1:13" x14ac:dyDescent="0.3">
      <c r="A209" t="s">
        <v>491</v>
      </c>
      <c r="B209" t="s">
        <v>492</v>
      </c>
      <c r="C209" t="s">
        <v>73</v>
      </c>
      <c r="D209">
        <v>30</v>
      </c>
      <c r="E209" t="s">
        <v>184</v>
      </c>
      <c r="F209" t="s">
        <v>68</v>
      </c>
      <c r="G209" t="s">
        <v>16</v>
      </c>
      <c r="H209">
        <v>15</v>
      </c>
      <c r="I209" t="str" cm="1">
        <f t="array" ref="I209">_xlfn.IFS(H209&lt;=5, "0-5", H209&lt;=10, "6-10", H209&lt;=15, "11-15", H209&lt;=20, "16-20", H209&gt;20, "21+")</f>
        <v>11-15</v>
      </c>
      <c r="J209">
        <v>40</v>
      </c>
      <c r="K209">
        <v>1</v>
      </c>
      <c r="L209" t="s">
        <v>2085</v>
      </c>
      <c r="M209" s="1">
        <v>0.9</v>
      </c>
    </row>
    <row r="210" spans="1:13" x14ac:dyDescent="0.3">
      <c r="A210" t="s">
        <v>493</v>
      </c>
      <c r="B210" t="s">
        <v>494</v>
      </c>
      <c r="C210" t="s">
        <v>93</v>
      </c>
      <c r="D210">
        <v>36</v>
      </c>
      <c r="E210" t="s">
        <v>169</v>
      </c>
      <c r="F210" t="s">
        <v>170</v>
      </c>
      <c r="G210" t="s">
        <v>110</v>
      </c>
      <c r="H210">
        <v>1</v>
      </c>
      <c r="I210" t="str" cm="1">
        <f t="array" ref="I210">_xlfn.IFS(H210&lt;=5, "0-5", H210&lt;=10, "6-10", H210&lt;=15, "11-15", H210&lt;=20, "16-20", H210&gt;20, "21+")</f>
        <v>0-5</v>
      </c>
      <c r="J210">
        <v>75</v>
      </c>
      <c r="K210">
        <v>3.2</v>
      </c>
      <c r="L210" t="s">
        <v>2085</v>
      </c>
      <c r="M210" s="1">
        <v>0.93</v>
      </c>
    </row>
    <row r="211" spans="1:13" x14ac:dyDescent="0.3">
      <c r="A211" t="s">
        <v>495</v>
      </c>
      <c r="B211" t="s">
        <v>496</v>
      </c>
      <c r="C211" t="s">
        <v>73</v>
      </c>
      <c r="D211">
        <v>47</v>
      </c>
      <c r="E211" t="s">
        <v>27</v>
      </c>
      <c r="F211" t="s">
        <v>28</v>
      </c>
      <c r="G211" t="s">
        <v>48</v>
      </c>
      <c r="H211">
        <v>8</v>
      </c>
      <c r="I211" t="str" cm="1">
        <f t="array" ref="I211">_xlfn.IFS(H211&lt;=5, "0-5", H211&lt;=10, "6-10", H211&lt;=15, "11-15", H211&lt;=20, "16-20", H211&gt;20, "21+")</f>
        <v>6-10</v>
      </c>
      <c r="J211">
        <v>40</v>
      </c>
      <c r="K211">
        <v>2.1</v>
      </c>
      <c r="L211" t="s">
        <v>2086</v>
      </c>
      <c r="M211" s="1">
        <v>0.94</v>
      </c>
    </row>
    <row r="212" spans="1:13" x14ac:dyDescent="0.3">
      <c r="A212" t="s">
        <v>497</v>
      </c>
      <c r="B212" t="s">
        <v>498</v>
      </c>
      <c r="C212" t="s">
        <v>73</v>
      </c>
      <c r="D212">
        <v>43</v>
      </c>
      <c r="E212" t="s">
        <v>123</v>
      </c>
      <c r="F212" t="s">
        <v>21</v>
      </c>
      <c r="G212" t="s">
        <v>22</v>
      </c>
      <c r="H212">
        <v>30</v>
      </c>
      <c r="I212" t="str" cm="1">
        <f t="array" ref="I212">_xlfn.IFS(H212&lt;=5, "0-5", H212&lt;=10, "6-10", H212&lt;=15, "11-15", H212&lt;=20, "16-20", H212&gt;20, "21+")</f>
        <v>21+</v>
      </c>
      <c r="J212">
        <v>50</v>
      </c>
      <c r="K212">
        <v>4.5999999999999996</v>
      </c>
      <c r="L212" t="s">
        <v>2086</v>
      </c>
      <c r="M212" s="1">
        <v>0.64</v>
      </c>
    </row>
    <row r="213" spans="1:13" x14ac:dyDescent="0.3">
      <c r="A213" t="s">
        <v>499</v>
      </c>
      <c r="B213" t="s">
        <v>500</v>
      </c>
      <c r="C213" t="s">
        <v>93</v>
      </c>
      <c r="D213">
        <v>57</v>
      </c>
      <c r="E213" t="s">
        <v>108</v>
      </c>
      <c r="F213" t="s">
        <v>109</v>
      </c>
      <c r="G213" t="s">
        <v>74</v>
      </c>
      <c r="H213">
        <v>8</v>
      </c>
      <c r="I213" t="str" cm="1">
        <f t="array" ref="I213">_xlfn.IFS(H213&lt;=5, "0-5", H213&lt;=10, "6-10", H213&lt;=15, "11-15", H213&lt;=20, "16-20", H213&gt;20, "21+")</f>
        <v>6-10</v>
      </c>
      <c r="J213">
        <v>20</v>
      </c>
      <c r="K213">
        <v>0</v>
      </c>
      <c r="L213" t="s">
        <v>2086</v>
      </c>
      <c r="M213" s="1">
        <v>0.84</v>
      </c>
    </row>
    <row r="214" spans="1:13" x14ac:dyDescent="0.3">
      <c r="A214" t="s">
        <v>501</v>
      </c>
      <c r="B214" t="s">
        <v>502</v>
      </c>
      <c r="C214" t="s">
        <v>93</v>
      </c>
      <c r="D214">
        <v>52</v>
      </c>
      <c r="E214" t="s">
        <v>14</v>
      </c>
      <c r="F214" t="s">
        <v>15</v>
      </c>
      <c r="G214" t="s">
        <v>110</v>
      </c>
      <c r="H214">
        <v>0</v>
      </c>
      <c r="I214" t="str" cm="1">
        <f t="array" ref="I214">_xlfn.IFS(H214&lt;=5, "0-5", H214&lt;=10, "6-10", H214&lt;=15, "11-15", H214&lt;=20, "16-20", H214&gt;20, "21+")</f>
        <v>0-5</v>
      </c>
      <c r="J214">
        <v>20</v>
      </c>
      <c r="K214">
        <v>2.8</v>
      </c>
      <c r="L214" t="s">
        <v>2085</v>
      </c>
      <c r="M214" s="1">
        <v>0.87</v>
      </c>
    </row>
    <row r="215" spans="1:13" x14ac:dyDescent="0.3">
      <c r="A215" t="s">
        <v>503</v>
      </c>
      <c r="B215" t="s">
        <v>504</v>
      </c>
      <c r="C215" t="s">
        <v>93</v>
      </c>
      <c r="E215" t="s">
        <v>27</v>
      </c>
      <c r="F215" t="s">
        <v>28</v>
      </c>
      <c r="G215" t="s">
        <v>16</v>
      </c>
      <c r="H215">
        <v>12</v>
      </c>
      <c r="I215" t="str" cm="1">
        <f t="array" ref="I215">_xlfn.IFS(H215&lt;=5, "0-5", H215&lt;=10, "6-10", H215&lt;=15, "11-15", H215&lt;=20, "16-20", H215&gt;20, "21+")</f>
        <v>11-15</v>
      </c>
      <c r="J215">
        <v>40</v>
      </c>
      <c r="K215">
        <v>0</v>
      </c>
      <c r="L215" t="s">
        <v>2085</v>
      </c>
      <c r="M215" s="1">
        <v>0.64</v>
      </c>
    </row>
    <row r="216" spans="1:13" x14ac:dyDescent="0.3">
      <c r="A216" t="s">
        <v>505</v>
      </c>
      <c r="B216" t="s">
        <v>506</v>
      </c>
      <c r="C216" t="s">
        <v>73</v>
      </c>
      <c r="D216">
        <v>22</v>
      </c>
      <c r="E216" t="s">
        <v>46</v>
      </c>
      <c r="F216" t="s">
        <v>47</v>
      </c>
      <c r="G216" t="s">
        <v>110</v>
      </c>
      <c r="H216">
        <v>4</v>
      </c>
      <c r="I216" t="str" cm="1">
        <f t="array" ref="I216">_xlfn.IFS(H216&lt;=5, "0-5", H216&lt;=10, "6-10", H216&lt;=15, "11-15", H216&lt;=20, "16-20", H216&gt;20, "21+")</f>
        <v>0-5</v>
      </c>
      <c r="J216">
        <v>100</v>
      </c>
      <c r="K216">
        <v>2.7</v>
      </c>
      <c r="L216" t="s">
        <v>2086</v>
      </c>
      <c r="M216" s="1">
        <v>0.64</v>
      </c>
    </row>
    <row r="217" spans="1:13" x14ac:dyDescent="0.3">
      <c r="A217" t="s">
        <v>507</v>
      </c>
      <c r="B217" t="s">
        <v>508</v>
      </c>
      <c r="C217" t="s">
        <v>93</v>
      </c>
      <c r="E217" t="s">
        <v>89</v>
      </c>
      <c r="F217" t="s">
        <v>90</v>
      </c>
      <c r="G217" t="s">
        <v>110</v>
      </c>
      <c r="H217">
        <v>14</v>
      </c>
      <c r="I217" t="str" cm="1">
        <f t="array" ref="I217">_xlfn.IFS(H217&lt;=5, "0-5", H217&lt;=10, "6-10", H217&lt;=15, "11-15", H217&lt;=20, "16-20", H217&gt;20, "21+")</f>
        <v>11-15</v>
      </c>
      <c r="J217">
        <v>20</v>
      </c>
      <c r="K217">
        <v>0</v>
      </c>
      <c r="L217" t="s">
        <v>2086</v>
      </c>
      <c r="M217" s="1">
        <v>0.8</v>
      </c>
    </row>
    <row r="218" spans="1:13" x14ac:dyDescent="0.3">
      <c r="A218" t="s">
        <v>509</v>
      </c>
      <c r="B218" t="s">
        <v>510</v>
      </c>
      <c r="C218" t="s">
        <v>73</v>
      </c>
      <c r="D218">
        <v>58</v>
      </c>
      <c r="E218" t="s">
        <v>184</v>
      </c>
      <c r="F218" t="s">
        <v>68</v>
      </c>
      <c r="G218" t="s">
        <v>22</v>
      </c>
      <c r="H218">
        <v>14</v>
      </c>
      <c r="I218" t="str" cm="1">
        <f t="array" ref="I218">_xlfn.IFS(H218&lt;=5, "0-5", H218&lt;=10, "6-10", H218&lt;=15, "11-15", H218&lt;=20, "16-20", H218&gt;20, "21+")</f>
        <v>11-15</v>
      </c>
      <c r="J218">
        <v>50</v>
      </c>
      <c r="K218">
        <v>3.1</v>
      </c>
      <c r="L218" t="s">
        <v>2085</v>
      </c>
      <c r="M218" s="1">
        <v>0.9</v>
      </c>
    </row>
    <row r="219" spans="1:13" x14ac:dyDescent="0.3">
      <c r="A219" t="s">
        <v>511</v>
      </c>
      <c r="B219" t="s">
        <v>512</v>
      </c>
      <c r="C219" t="s">
        <v>93</v>
      </c>
      <c r="D219">
        <v>39</v>
      </c>
      <c r="E219" t="s">
        <v>108</v>
      </c>
      <c r="F219" t="s">
        <v>109</v>
      </c>
      <c r="G219" t="s">
        <v>34</v>
      </c>
      <c r="H219">
        <v>2</v>
      </c>
      <c r="I219" t="str" cm="1">
        <f t="array" ref="I219">_xlfn.IFS(H219&lt;=5, "0-5", H219&lt;=10, "6-10", H219&lt;=15, "11-15", H219&lt;=20, "16-20", H219&gt;20, "21+")</f>
        <v>0-5</v>
      </c>
      <c r="J219">
        <v>100</v>
      </c>
      <c r="K219">
        <v>0</v>
      </c>
      <c r="L219" t="s">
        <v>2086</v>
      </c>
      <c r="M219" s="1">
        <v>0.92</v>
      </c>
    </row>
    <row r="220" spans="1:13" x14ac:dyDescent="0.3">
      <c r="A220" t="s">
        <v>513</v>
      </c>
      <c r="B220" t="s">
        <v>514</v>
      </c>
      <c r="C220" t="s">
        <v>93</v>
      </c>
      <c r="D220">
        <v>32</v>
      </c>
      <c r="E220" t="s">
        <v>46</v>
      </c>
      <c r="F220" t="s">
        <v>47</v>
      </c>
      <c r="G220" t="s">
        <v>29</v>
      </c>
      <c r="H220">
        <v>2</v>
      </c>
      <c r="I220" t="str" cm="1">
        <f t="array" ref="I220">_xlfn.IFS(H220&lt;=5, "0-5", H220&lt;=10, "6-10", H220&lt;=15, "11-15", H220&lt;=20, "16-20", H220&gt;20, "21+")</f>
        <v>0-5</v>
      </c>
      <c r="L220" t="s">
        <v>2085</v>
      </c>
      <c r="M220" s="1">
        <v>0.96</v>
      </c>
    </row>
    <row r="221" spans="1:13" x14ac:dyDescent="0.3">
      <c r="A221" t="s">
        <v>515</v>
      </c>
      <c r="B221" t="s">
        <v>516</v>
      </c>
      <c r="C221" t="s">
        <v>93</v>
      </c>
      <c r="D221">
        <v>37</v>
      </c>
      <c r="E221" t="s">
        <v>123</v>
      </c>
      <c r="F221" t="s">
        <v>21</v>
      </c>
      <c r="G221" t="s">
        <v>69</v>
      </c>
      <c r="H221">
        <v>4</v>
      </c>
      <c r="I221" t="str" cm="1">
        <f t="array" ref="I221">_xlfn.IFS(H221&lt;=5, "0-5", H221&lt;=10, "6-10", H221&lt;=15, "11-15", H221&lt;=20, "16-20", H221&gt;20, "21+")</f>
        <v>0-5</v>
      </c>
      <c r="J221">
        <v>30</v>
      </c>
      <c r="K221">
        <v>2.2999999999999998</v>
      </c>
      <c r="L221" t="s">
        <v>2086</v>
      </c>
    </row>
    <row r="222" spans="1:13" x14ac:dyDescent="0.3">
      <c r="A222" t="s">
        <v>517</v>
      </c>
      <c r="B222" t="s">
        <v>518</v>
      </c>
      <c r="C222" t="s">
        <v>73</v>
      </c>
      <c r="D222">
        <v>21</v>
      </c>
      <c r="E222" t="s">
        <v>169</v>
      </c>
      <c r="F222" t="s">
        <v>170</v>
      </c>
      <c r="G222" t="s">
        <v>74</v>
      </c>
      <c r="H222">
        <v>0</v>
      </c>
      <c r="I222" t="str" cm="1">
        <f t="array" ref="I222">_xlfn.IFS(H222&lt;=5, "0-5", H222&lt;=10, "6-10", H222&lt;=15, "11-15", H222&lt;=20, "16-20", H222&gt;20, "21+")</f>
        <v>0-5</v>
      </c>
      <c r="J222">
        <v>100</v>
      </c>
      <c r="K222">
        <v>2.4</v>
      </c>
      <c r="L222" t="s">
        <v>2086</v>
      </c>
    </row>
    <row r="223" spans="1:13" x14ac:dyDescent="0.3">
      <c r="A223" t="s">
        <v>519</v>
      </c>
      <c r="B223" t="s">
        <v>520</v>
      </c>
      <c r="C223" t="s">
        <v>93</v>
      </c>
      <c r="D223">
        <v>41</v>
      </c>
      <c r="E223" t="s">
        <v>108</v>
      </c>
      <c r="F223" t="s">
        <v>109</v>
      </c>
      <c r="G223" t="s">
        <v>110</v>
      </c>
      <c r="H223">
        <v>9</v>
      </c>
      <c r="I223" t="str" cm="1">
        <f t="array" ref="I223">_xlfn.IFS(H223&lt;=5, "0-5", H223&lt;=10, "6-10", H223&lt;=15, "11-15", H223&lt;=20, "16-20", H223&gt;20, "21+")</f>
        <v>6-10</v>
      </c>
      <c r="J223">
        <v>75</v>
      </c>
      <c r="K223">
        <v>2.6</v>
      </c>
      <c r="M223" s="1">
        <v>0.85</v>
      </c>
    </row>
    <row r="224" spans="1:13" x14ac:dyDescent="0.3">
      <c r="A224" t="s">
        <v>521</v>
      </c>
      <c r="B224" t="s">
        <v>522</v>
      </c>
      <c r="C224" t="s">
        <v>73</v>
      </c>
      <c r="D224">
        <v>21</v>
      </c>
      <c r="E224" t="s">
        <v>123</v>
      </c>
      <c r="F224" t="s">
        <v>21</v>
      </c>
      <c r="G224" t="s">
        <v>42</v>
      </c>
      <c r="H224">
        <v>3</v>
      </c>
      <c r="I224" t="str" cm="1">
        <f t="array" ref="I224">_xlfn.IFS(H224&lt;=5, "0-5", H224&lt;=10, "6-10", H224&lt;=15, "11-15", H224&lt;=20, "16-20", H224&gt;20, "21+")</f>
        <v>0-5</v>
      </c>
      <c r="J224">
        <v>40</v>
      </c>
      <c r="K224">
        <v>1.1000000000000001</v>
      </c>
      <c r="L224" t="s">
        <v>2085</v>
      </c>
      <c r="M224" s="1">
        <v>0.79</v>
      </c>
    </row>
    <row r="225" spans="1:13" x14ac:dyDescent="0.3">
      <c r="A225" t="s">
        <v>523</v>
      </c>
      <c r="B225" t="s">
        <v>524</v>
      </c>
      <c r="C225" t="s">
        <v>73</v>
      </c>
      <c r="D225">
        <v>58</v>
      </c>
      <c r="E225" t="s">
        <v>169</v>
      </c>
      <c r="F225" t="s">
        <v>170</v>
      </c>
      <c r="G225" t="s">
        <v>110</v>
      </c>
      <c r="H225">
        <v>2</v>
      </c>
      <c r="I225" t="str" cm="1">
        <f t="array" ref="I225">_xlfn.IFS(H225&lt;=5, "0-5", H225&lt;=10, "6-10", H225&lt;=15, "11-15", H225&lt;=20, "16-20", H225&gt;20, "21+")</f>
        <v>0-5</v>
      </c>
      <c r="J225">
        <v>30</v>
      </c>
      <c r="K225">
        <v>0</v>
      </c>
      <c r="L225" t="s">
        <v>2086</v>
      </c>
      <c r="M225" s="1">
        <v>0.65</v>
      </c>
    </row>
    <row r="226" spans="1:13" x14ac:dyDescent="0.3">
      <c r="A226" t="s">
        <v>525</v>
      </c>
      <c r="B226" t="s">
        <v>526</v>
      </c>
      <c r="C226" t="s">
        <v>93</v>
      </c>
      <c r="D226">
        <v>60</v>
      </c>
      <c r="E226" t="s">
        <v>123</v>
      </c>
      <c r="F226" t="s">
        <v>21</v>
      </c>
      <c r="G226" t="s">
        <v>110</v>
      </c>
      <c r="H226">
        <v>10</v>
      </c>
      <c r="I226" t="str" cm="1">
        <f t="array" ref="I226">_xlfn.IFS(H226&lt;=5, "0-5", H226&lt;=10, "6-10", H226&lt;=15, "11-15", H226&lt;=20, "16-20", H226&gt;20, "21+")</f>
        <v>6-10</v>
      </c>
      <c r="J226">
        <v>40</v>
      </c>
      <c r="K226">
        <v>4.7</v>
      </c>
      <c r="L226" t="s">
        <v>2085</v>
      </c>
      <c r="M226" s="1">
        <v>0.63</v>
      </c>
    </row>
    <row r="227" spans="1:13" x14ac:dyDescent="0.3">
      <c r="A227" t="s">
        <v>527</v>
      </c>
      <c r="B227" t="s">
        <v>528</v>
      </c>
      <c r="C227" t="s">
        <v>93</v>
      </c>
      <c r="D227">
        <v>27</v>
      </c>
      <c r="E227" t="s">
        <v>148</v>
      </c>
      <c r="F227" t="s">
        <v>149</v>
      </c>
      <c r="G227" t="s">
        <v>34</v>
      </c>
      <c r="H227">
        <v>33</v>
      </c>
      <c r="I227" t="str" cm="1">
        <f t="array" ref="I227">_xlfn.IFS(H227&lt;=5, "0-5", H227&lt;=10, "6-10", H227&lt;=15, "11-15", H227&lt;=20, "16-20", H227&gt;20, "21+")</f>
        <v>21+</v>
      </c>
      <c r="J227">
        <v>40</v>
      </c>
      <c r="K227">
        <v>1.2</v>
      </c>
      <c r="L227" t="s">
        <v>2085</v>
      </c>
    </row>
    <row r="228" spans="1:13" x14ac:dyDescent="0.3">
      <c r="A228" t="s">
        <v>529</v>
      </c>
      <c r="B228" t="s">
        <v>530</v>
      </c>
      <c r="C228" t="s">
        <v>73</v>
      </c>
      <c r="D228">
        <v>29</v>
      </c>
      <c r="E228" t="s">
        <v>27</v>
      </c>
      <c r="F228" t="s">
        <v>28</v>
      </c>
      <c r="G228" t="s">
        <v>110</v>
      </c>
      <c r="H228">
        <v>12</v>
      </c>
      <c r="I228" t="str" cm="1">
        <f t="array" ref="I228">_xlfn.IFS(H228&lt;=5, "0-5", H228&lt;=10, "6-10", H228&lt;=15, "11-15", H228&lt;=20, "16-20", H228&gt;20, "21+")</f>
        <v>11-15</v>
      </c>
      <c r="J228">
        <v>40</v>
      </c>
      <c r="K228">
        <v>1.2</v>
      </c>
      <c r="L228" t="s">
        <v>2085</v>
      </c>
      <c r="M228" s="1">
        <v>0.78</v>
      </c>
    </row>
    <row r="229" spans="1:13" x14ac:dyDescent="0.3">
      <c r="A229" t="s">
        <v>531</v>
      </c>
      <c r="B229" t="s">
        <v>532</v>
      </c>
      <c r="C229" t="s">
        <v>73</v>
      </c>
      <c r="D229">
        <v>54</v>
      </c>
      <c r="E229" t="s">
        <v>123</v>
      </c>
      <c r="F229" t="s">
        <v>21</v>
      </c>
      <c r="G229" t="s">
        <v>29</v>
      </c>
      <c r="H229">
        <v>18</v>
      </c>
      <c r="I229" t="str" cm="1">
        <f t="array" ref="I229">_xlfn.IFS(H229&lt;=5, "0-5", H229&lt;=10, "6-10", H229&lt;=15, "11-15", H229&lt;=20, "16-20", H229&gt;20, "21+")</f>
        <v>16-20</v>
      </c>
      <c r="J229">
        <v>75</v>
      </c>
      <c r="K229">
        <v>0</v>
      </c>
      <c r="L229" t="s">
        <v>2086</v>
      </c>
      <c r="M229" s="1">
        <v>0.62</v>
      </c>
    </row>
    <row r="230" spans="1:13" x14ac:dyDescent="0.3">
      <c r="A230" t="s">
        <v>533</v>
      </c>
      <c r="B230" t="s">
        <v>534</v>
      </c>
      <c r="C230" t="s">
        <v>93</v>
      </c>
      <c r="D230">
        <v>52</v>
      </c>
      <c r="E230" t="s">
        <v>173</v>
      </c>
      <c r="F230" t="s">
        <v>68</v>
      </c>
      <c r="G230" t="s">
        <v>110</v>
      </c>
      <c r="H230">
        <v>4</v>
      </c>
      <c r="I230" t="str" cm="1">
        <f t="array" ref="I230">_xlfn.IFS(H230&lt;=5, "0-5", H230&lt;=10, "6-10", H230&lt;=15, "11-15", H230&lt;=20, "16-20", H230&gt;20, "21+")</f>
        <v>0-5</v>
      </c>
      <c r="J230">
        <v>40</v>
      </c>
      <c r="K230">
        <v>1.2</v>
      </c>
      <c r="L230" t="s">
        <v>2085</v>
      </c>
      <c r="M230" s="1">
        <v>0.76</v>
      </c>
    </row>
    <row r="231" spans="1:13" x14ac:dyDescent="0.3">
      <c r="A231" t="s">
        <v>535</v>
      </c>
      <c r="B231" t="s">
        <v>536</v>
      </c>
      <c r="C231" t="s">
        <v>73</v>
      </c>
      <c r="D231">
        <v>55</v>
      </c>
      <c r="E231" t="s">
        <v>46</v>
      </c>
      <c r="F231" t="s">
        <v>47</v>
      </c>
      <c r="G231" t="s">
        <v>16</v>
      </c>
      <c r="H231">
        <v>11</v>
      </c>
      <c r="I231" t="str" cm="1">
        <f t="array" ref="I231">_xlfn.IFS(H231&lt;=5, "0-5", H231&lt;=10, "6-10", H231&lt;=15, "11-15", H231&lt;=20, "16-20", H231&gt;20, "21+")</f>
        <v>11-15</v>
      </c>
      <c r="J231">
        <v>100</v>
      </c>
      <c r="K231">
        <v>2.9</v>
      </c>
      <c r="L231" t="s">
        <v>2085</v>
      </c>
      <c r="M231" s="1">
        <v>0.97</v>
      </c>
    </row>
    <row r="232" spans="1:13" x14ac:dyDescent="0.3">
      <c r="A232" t="s">
        <v>537</v>
      </c>
      <c r="B232" t="s">
        <v>538</v>
      </c>
      <c r="C232" t="s">
        <v>93</v>
      </c>
      <c r="D232">
        <v>37</v>
      </c>
      <c r="E232" t="s">
        <v>103</v>
      </c>
      <c r="F232" t="s">
        <v>104</v>
      </c>
      <c r="G232" t="s">
        <v>16</v>
      </c>
      <c r="H232">
        <v>1</v>
      </c>
      <c r="I232" t="str" cm="1">
        <f t="array" ref="I232">_xlfn.IFS(H232&lt;=5, "0-5", H232&lt;=10, "6-10", H232&lt;=15, "11-15", H232&lt;=20, "16-20", H232&gt;20, "21+")</f>
        <v>0-5</v>
      </c>
      <c r="L232" t="s">
        <v>2085</v>
      </c>
    </row>
    <row r="233" spans="1:13" x14ac:dyDescent="0.3">
      <c r="A233" t="s">
        <v>539</v>
      </c>
      <c r="B233" t="s">
        <v>540</v>
      </c>
      <c r="C233" t="s">
        <v>73</v>
      </c>
      <c r="D233">
        <v>34</v>
      </c>
      <c r="E233" t="s">
        <v>134</v>
      </c>
      <c r="F233" t="s">
        <v>135</v>
      </c>
      <c r="G233" t="s">
        <v>48</v>
      </c>
      <c r="H233">
        <v>2</v>
      </c>
      <c r="I233" t="str" cm="1">
        <f t="array" ref="I233">_xlfn.IFS(H233&lt;=5, "0-5", H233&lt;=10, "6-10", H233&lt;=15, "11-15", H233&lt;=20, "16-20", H233&gt;20, "21+")</f>
        <v>0-5</v>
      </c>
      <c r="J233">
        <v>50</v>
      </c>
      <c r="K233">
        <v>3.9</v>
      </c>
      <c r="L233" t="s">
        <v>2086</v>
      </c>
      <c r="M233" s="1">
        <v>0.82</v>
      </c>
    </row>
    <row r="234" spans="1:13" x14ac:dyDescent="0.3">
      <c r="A234" t="s">
        <v>541</v>
      </c>
      <c r="B234" t="s">
        <v>542</v>
      </c>
      <c r="C234" t="s">
        <v>93</v>
      </c>
      <c r="D234">
        <v>20</v>
      </c>
      <c r="E234" t="s">
        <v>130</v>
      </c>
      <c r="F234" t="s">
        <v>131</v>
      </c>
      <c r="G234" t="s">
        <v>48</v>
      </c>
      <c r="H234">
        <v>2</v>
      </c>
      <c r="I234" t="str" cm="1">
        <f t="array" ref="I234">_xlfn.IFS(H234&lt;=5, "0-5", H234&lt;=10, "6-10", H234&lt;=15, "11-15", H234&lt;=20, "16-20", H234&gt;20, "21+")</f>
        <v>0-5</v>
      </c>
      <c r="J234">
        <v>50</v>
      </c>
      <c r="K234">
        <v>3.1</v>
      </c>
      <c r="M234" s="1">
        <v>0.71</v>
      </c>
    </row>
    <row r="235" spans="1:13" x14ac:dyDescent="0.3">
      <c r="A235" t="s">
        <v>543</v>
      </c>
      <c r="B235" t="s">
        <v>544</v>
      </c>
      <c r="C235" t="s">
        <v>93</v>
      </c>
      <c r="D235">
        <v>22</v>
      </c>
      <c r="E235" t="s">
        <v>173</v>
      </c>
      <c r="F235" t="s">
        <v>68</v>
      </c>
      <c r="G235" t="s">
        <v>69</v>
      </c>
      <c r="H235">
        <v>34</v>
      </c>
      <c r="I235" t="str" cm="1">
        <f t="array" ref="I235">_xlfn.IFS(H235&lt;=5, "0-5", H235&lt;=10, "6-10", H235&lt;=15, "11-15", H235&lt;=20, "16-20", H235&gt;20, "21+")</f>
        <v>21+</v>
      </c>
      <c r="K235">
        <v>0</v>
      </c>
      <c r="L235" t="s">
        <v>2086</v>
      </c>
    </row>
    <row r="236" spans="1:13" x14ac:dyDescent="0.3">
      <c r="A236" t="s">
        <v>545</v>
      </c>
      <c r="B236" t="s">
        <v>546</v>
      </c>
      <c r="C236" t="s">
        <v>73</v>
      </c>
      <c r="D236">
        <v>23</v>
      </c>
      <c r="E236" t="s">
        <v>108</v>
      </c>
      <c r="F236" t="s">
        <v>109</v>
      </c>
      <c r="G236" t="s">
        <v>29</v>
      </c>
      <c r="H236">
        <v>27</v>
      </c>
      <c r="I236" t="str" cm="1">
        <f t="array" ref="I236">_xlfn.IFS(H236&lt;=5, "0-5", H236&lt;=10, "6-10", H236&lt;=15, "11-15", H236&lt;=20, "16-20", H236&gt;20, "21+")</f>
        <v>21+</v>
      </c>
      <c r="J236">
        <v>50</v>
      </c>
      <c r="K236">
        <v>3.2</v>
      </c>
      <c r="L236" t="s">
        <v>2086</v>
      </c>
    </row>
    <row r="237" spans="1:13" x14ac:dyDescent="0.3">
      <c r="A237" t="s">
        <v>547</v>
      </c>
      <c r="B237" t="s">
        <v>548</v>
      </c>
      <c r="C237" t="s">
        <v>73</v>
      </c>
      <c r="D237">
        <v>53</v>
      </c>
      <c r="E237" t="s">
        <v>108</v>
      </c>
      <c r="F237" t="s">
        <v>109</v>
      </c>
      <c r="G237" t="s">
        <v>16</v>
      </c>
      <c r="H237">
        <v>4</v>
      </c>
      <c r="I237" t="str" cm="1">
        <f t="array" ref="I237">_xlfn.IFS(H237&lt;=5, "0-5", H237&lt;=10, "6-10", H237&lt;=15, "11-15", H237&lt;=20, "16-20", H237&gt;20, "21+")</f>
        <v>0-5</v>
      </c>
      <c r="J237">
        <v>30</v>
      </c>
      <c r="L237" t="s">
        <v>2086</v>
      </c>
    </row>
    <row r="238" spans="1:13" x14ac:dyDescent="0.3">
      <c r="A238" t="s">
        <v>549</v>
      </c>
      <c r="B238" t="s">
        <v>550</v>
      </c>
      <c r="C238" t="s">
        <v>73</v>
      </c>
      <c r="D238">
        <v>56</v>
      </c>
      <c r="E238" t="s">
        <v>108</v>
      </c>
      <c r="F238" t="s">
        <v>109</v>
      </c>
      <c r="G238" t="s">
        <v>29</v>
      </c>
      <c r="H238">
        <v>11</v>
      </c>
      <c r="I238" t="str" cm="1">
        <f t="array" ref="I238">_xlfn.IFS(H238&lt;=5, "0-5", H238&lt;=10, "6-10", H238&lt;=15, "11-15", H238&lt;=20, "16-20", H238&gt;20, "21+")</f>
        <v>11-15</v>
      </c>
      <c r="J238">
        <v>100</v>
      </c>
      <c r="K238">
        <v>4.7</v>
      </c>
      <c r="L238" t="s">
        <v>2086</v>
      </c>
      <c r="M238" s="1">
        <v>0.69</v>
      </c>
    </row>
    <row r="239" spans="1:13" x14ac:dyDescent="0.3">
      <c r="A239" t="s">
        <v>551</v>
      </c>
      <c r="B239" t="s">
        <v>552</v>
      </c>
      <c r="C239" t="s">
        <v>93</v>
      </c>
      <c r="D239">
        <v>27</v>
      </c>
      <c r="E239" t="s">
        <v>123</v>
      </c>
      <c r="F239" t="s">
        <v>21</v>
      </c>
      <c r="G239" t="s">
        <v>42</v>
      </c>
      <c r="H239">
        <v>4</v>
      </c>
      <c r="I239" t="str" cm="1">
        <f t="array" ref="I239">_xlfn.IFS(H239&lt;=5, "0-5", H239&lt;=10, "6-10", H239&lt;=15, "11-15", H239&lt;=20, "16-20", H239&gt;20, "21+")</f>
        <v>0-5</v>
      </c>
      <c r="J239">
        <v>75</v>
      </c>
      <c r="K239">
        <v>5</v>
      </c>
      <c r="L239" t="s">
        <v>2085</v>
      </c>
      <c r="M239" s="1">
        <v>0.88</v>
      </c>
    </row>
    <row r="240" spans="1:13" x14ac:dyDescent="0.3">
      <c r="A240" t="s">
        <v>553</v>
      </c>
      <c r="B240" t="s">
        <v>554</v>
      </c>
      <c r="C240" t="s">
        <v>93</v>
      </c>
      <c r="D240">
        <v>34</v>
      </c>
      <c r="E240" t="s">
        <v>14</v>
      </c>
      <c r="F240" t="s">
        <v>15</v>
      </c>
      <c r="G240" t="s">
        <v>22</v>
      </c>
      <c r="H240">
        <v>11</v>
      </c>
      <c r="I240" t="str" cm="1">
        <f t="array" ref="I240">_xlfn.IFS(H240&lt;=5, "0-5", H240&lt;=10, "6-10", H240&lt;=15, "11-15", H240&lt;=20, "16-20", H240&gt;20, "21+")</f>
        <v>11-15</v>
      </c>
      <c r="J240">
        <v>40</v>
      </c>
      <c r="L240" t="s">
        <v>2085</v>
      </c>
      <c r="M240" s="1">
        <v>0.67</v>
      </c>
    </row>
    <row r="241" spans="1:13" x14ac:dyDescent="0.3">
      <c r="A241" t="s">
        <v>555</v>
      </c>
      <c r="B241" t="s">
        <v>556</v>
      </c>
      <c r="C241" t="s">
        <v>93</v>
      </c>
      <c r="D241">
        <v>29</v>
      </c>
      <c r="E241" t="s">
        <v>55</v>
      </c>
      <c r="F241" t="s">
        <v>21</v>
      </c>
      <c r="G241" t="s">
        <v>34</v>
      </c>
      <c r="H241">
        <v>1</v>
      </c>
      <c r="I241" t="str" cm="1">
        <f t="array" ref="I241">_xlfn.IFS(H241&lt;=5, "0-5", H241&lt;=10, "6-10", H241&lt;=15, "11-15", H241&lt;=20, "16-20", H241&gt;20, "21+")</f>
        <v>0-5</v>
      </c>
      <c r="J241">
        <v>50</v>
      </c>
      <c r="K241">
        <v>4</v>
      </c>
      <c r="L241" t="s">
        <v>2085</v>
      </c>
    </row>
    <row r="242" spans="1:13" x14ac:dyDescent="0.3">
      <c r="A242" t="s">
        <v>557</v>
      </c>
      <c r="B242" t="s">
        <v>558</v>
      </c>
      <c r="C242" t="s">
        <v>93</v>
      </c>
      <c r="D242">
        <v>34</v>
      </c>
      <c r="E242" t="s">
        <v>89</v>
      </c>
      <c r="F242" t="s">
        <v>90</v>
      </c>
      <c r="G242" t="s">
        <v>42</v>
      </c>
      <c r="H242">
        <v>2</v>
      </c>
      <c r="I242" t="str" cm="1">
        <f t="array" ref="I242">_xlfn.IFS(H242&lt;=5, "0-5", H242&lt;=10, "6-10", H242&lt;=15, "11-15", H242&lt;=20, "16-20", H242&gt;20, "21+")</f>
        <v>0-5</v>
      </c>
      <c r="K242">
        <v>1.2</v>
      </c>
      <c r="L242" t="s">
        <v>2086</v>
      </c>
    </row>
    <row r="243" spans="1:13" x14ac:dyDescent="0.3">
      <c r="A243" t="s">
        <v>559</v>
      </c>
      <c r="B243" t="s">
        <v>560</v>
      </c>
      <c r="C243" t="s">
        <v>73</v>
      </c>
      <c r="D243">
        <v>32</v>
      </c>
      <c r="E243" t="s">
        <v>173</v>
      </c>
      <c r="F243" t="s">
        <v>68</v>
      </c>
      <c r="G243" t="s">
        <v>42</v>
      </c>
      <c r="H243">
        <v>2</v>
      </c>
      <c r="I243" t="str" cm="1">
        <f t="array" ref="I243">_xlfn.IFS(H243&lt;=5, "0-5", H243&lt;=10, "6-10", H243&lt;=15, "11-15", H243&lt;=20, "16-20", H243&gt;20, "21+")</f>
        <v>0-5</v>
      </c>
      <c r="J243">
        <v>100</v>
      </c>
      <c r="K243">
        <v>4.7</v>
      </c>
      <c r="L243" t="s">
        <v>2085</v>
      </c>
      <c r="M243" s="1">
        <v>0.67</v>
      </c>
    </row>
    <row r="244" spans="1:13" x14ac:dyDescent="0.3">
      <c r="A244" t="s">
        <v>561</v>
      </c>
      <c r="B244" t="s">
        <v>562</v>
      </c>
      <c r="C244" t="s">
        <v>73</v>
      </c>
      <c r="D244">
        <v>21</v>
      </c>
      <c r="E244" t="s">
        <v>148</v>
      </c>
      <c r="F244" t="s">
        <v>149</v>
      </c>
      <c r="G244" t="s">
        <v>110</v>
      </c>
      <c r="H244">
        <v>10</v>
      </c>
      <c r="I244" t="str" cm="1">
        <f t="array" ref="I244">_xlfn.IFS(H244&lt;=5, "0-5", H244&lt;=10, "6-10", H244&lt;=15, "11-15", H244&lt;=20, "16-20", H244&gt;20, "21+")</f>
        <v>6-10</v>
      </c>
      <c r="J244">
        <v>20</v>
      </c>
      <c r="K244">
        <v>2.4</v>
      </c>
      <c r="M244" s="1">
        <v>0.86</v>
      </c>
    </row>
    <row r="245" spans="1:13" x14ac:dyDescent="0.3">
      <c r="A245" t="s">
        <v>563</v>
      </c>
      <c r="B245" t="s">
        <v>564</v>
      </c>
      <c r="C245" t="s">
        <v>93</v>
      </c>
      <c r="D245">
        <v>20</v>
      </c>
      <c r="E245" t="s">
        <v>173</v>
      </c>
      <c r="F245" t="s">
        <v>68</v>
      </c>
      <c r="G245" t="s">
        <v>29</v>
      </c>
      <c r="H245">
        <v>18</v>
      </c>
      <c r="I245" t="str" cm="1">
        <f t="array" ref="I245">_xlfn.IFS(H245&lt;=5, "0-5", H245&lt;=10, "6-10", H245&lt;=15, "11-15", H245&lt;=20, "16-20", H245&gt;20, "21+")</f>
        <v>16-20</v>
      </c>
      <c r="K245">
        <v>1.1000000000000001</v>
      </c>
      <c r="L245" t="s">
        <v>2085</v>
      </c>
      <c r="M245" s="1">
        <v>0.69</v>
      </c>
    </row>
    <row r="246" spans="1:13" x14ac:dyDescent="0.3">
      <c r="A246" t="s">
        <v>565</v>
      </c>
      <c r="B246" t="s">
        <v>566</v>
      </c>
      <c r="C246" t="s">
        <v>73</v>
      </c>
      <c r="D246">
        <v>35</v>
      </c>
      <c r="E246" t="s">
        <v>55</v>
      </c>
      <c r="F246" t="s">
        <v>21</v>
      </c>
      <c r="G246" t="s">
        <v>22</v>
      </c>
      <c r="H246">
        <v>4</v>
      </c>
      <c r="I246" t="str" cm="1">
        <f t="array" ref="I246">_xlfn.IFS(H246&lt;=5, "0-5", H246&lt;=10, "6-10", H246&lt;=15, "11-15", H246&lt;=20, "16-20", H246&gt;20, "21+")</f>
        <v>0-5</v>
      </c>
      <c r="J246">
        <v>50</v>
      </c>
      <c r="K246">
        <v>1.4</v>
      </c>
      <c r="L246" t="s">
        <v>2086</v>
      </c>
      <c r="M246" s="1">
        <v>0.85</v>
      </c>
    </row>
    <row r="247" spans="1:13" x14ac:dyDescent="0.3">
      <c r="A247" t="s">
        <v>567</v>
      </c>
      <c r="B247" t="s">
        <v>568</v>
      </c>
      <c r="C247" t="s">
        <v>73</v>
      </c>
      <c r="D247">
        <v>47</v>
      </c>
      <c r="E247" t="s">
        <v>55</v>
      </c>
      <c r="F247" t="s">
        <v>21</v>
      </c>
      <c r="G247" t="s">
        <v>69</v>
      </c>
      <c r="H247">
        <v>23</v>
      </c>
      <c r="I247" t="str" cm="1">
        <f t="array" ref="I247">_xlfn.IFS(H247&lt;=5, "0-5", H247&lt;=10, "6-10", H247&lt;=15, "11-15", H247&lt;=20, "16-20", H247&gt;20, "21+")</f>
        <v>21+</v>
      </c>
      <c r="J247">
        <v>40</v>
      </c>
      <c r="K247">
        <v>3.4</v>
      </c>
      <c r="L247" t="s">
        <v>2085</v>
      </c>
      <c r="M247" s="1">
        <v>0.6</v>
      </c>
    </row>
    <row r="248" spans="1:13" x14ac:dyDescent="0.3">
      <c r="A248" t="s">
        <v>569</v>
      </c>
      <c r="B248" t="s">
        <v>570</v>
      </c>
      <c r="C248" t="s">
        <v>73</v>
      </c>
      <c r="D248">
        <v>41</v>
      </c>
      <c r="E248" t="s">
        <v>59</v>
      </c>
      <c r="F248" t="s">
        <v>60</v>
      </c>
      <c r="G248" t="s">
        <v>16</v>
      </c>
      <c r="H248">
        <v>6</v>
      </c>
      <c r="I248" t="str" cm="1">
        <f t="array" ref="I248">_xlfn.IFS(H248&lt;=5, "0-5", H248&lt;=10, "6-10", H248&lt;=15, "11-15", H248&lt;=20, "16-20", H248&gt;20, "21+")</f>
        <v>6-10</v>
      </c>
      <c r="J248">
        <v>40</v>
      </c>
      <c r="K248">
        <v>2.7</v>
      </c>
      <c r="L248" t="s">
        <v>2086</v>
      </c>
      <c r="M248" s="1">
        <v>0.7</v>
      </c>
    </row>
    <row r="249" spans="1:13" x14ac:dyDescent="0.3">
      <c r="A249" t="s">
        <v>571</v>
      </c>
      <c r="B249" t="s">
        <v>572</v>
      </c>
      <c r="C249" t="s">
        <v>93</v>
      </c>
      <c r="D249">
        <v>58</v>
      </c>
      <c r="E249" t="s">
        <v>67</v>
      </c>
      <c r="F249" t="s">
        <v>68</v>
      </c>
      <c r="G249" t="s">
        <v>34</v>
      </c>
      <c r="H249">
        <v>5</v>
      </c>
      <c r="I249" t="str" cm="1">
        <f t="array" ref="I249">_xlfn.IFS(H249&lt;=5, "0-5", H249&lt;=10, "6-10", H249&lt;=15, "11-15", H249&lt;=20, "16-20", H249&gt;20, "21+")</f>
        <v>0-5</v>
      </c>
      <c r="K249">
        <v>4.9000000000000004</v>
      </c>
      <c r="L249" t="s">
        <v>2085</v>
      </c>
    </row>
    <row r="250" spans="1:13" x14ac:dyDescent="0.3">
      <c r="A250" t="s">
        <v>573</v>
      </c>
      <c r="B250" t="s">
        <v>574</v>
      </c>
      <c r="C250" t="s">
        <v>93</v>
      </c>
      <c r="D250">
        <v>34</v>
      </c>
      <c r="E250" t="s">
        <v>169</v>
      </c>
      <c r="F250" t="s">
        <v>170</v>
      </c>
      <c r="G250" t="s">
        <v>48</v>
      </c>
      <c r="H250">
        <v>19</v>
      </c>
      <c r="I250" t="str" cm="1">
        <f t="array" ref="I250">_xlfn.IFS(H250&lt;=5, "0-5", H250&lt;=10, "6-10", H250&lt;=15, "11-15", H250&lt;=20, "16-20", H250&gt;20, "21+")</f>
        <v>16-20</v>
      </c>
      <c r="J250">
        <v>75</v>
      </c>
      <c r="K250">
        <v>1.9</v>
      </c>
      <c r="L250" t="s">
        <v>2086</v>
      </c>
      <c r="M250" s="1">
        <v>0.81</v>
      </c>
    </row>
    <row r="251" spans="1:13" x14ac:dyDescent="0.3">
      <c r="A251" t="s">
        <v>575</v>
      </c>
      <c r="B251" t="s">
        <v>576</v>
      </c>
      <c r="C251" t="s">
        <v>73</v>
      </c>
      <c r="D251">
        <v>50</v>
      </c>
      <c r="E251" t="s">
        <v>89</v>
      </c>
      <c r="F251" t="s">
        <v>90</v>
      </c>
      <c r="G251" t="s">
        <v>22</v>
      </c>
      <c r="H251">
        <v>6</v>
      </c>
      <c r="I251" t="str" cm="1">
        <f t="array" ref="I251">_xlfn.IFS(H251&lt;=5, "0-5", H251&lt;=10, "6-10", H251&lt;=15, "11-15", H251&lt;=20, "16-20", H251&gt;20, "21+")</f>
        <v>6-10</v>
      </c>
      <c r="J251">
        <v>100</v>
      </c>
      <c r="L251" t="s">
        <v>2086</v>
      </c>
    </row>
    <row r="252" spans="1:13" x14ac:dyDescent="0.3">
      <c r="A252" t="s">
        <v>577</v>
      </c>
      <c r="B252" t="s">
        <v>578</v>
      </c>
      <c r="C252" t="s">
        <v>73</v>
      </c>
      <c r="D252">
        <v>42</v>
      </c>
      <c r="E252" t="s">
        <v>173</v>
      </c>
      <c r="F252" t="s">
        <v>68</v>
      </c>
      <c r="G252" t="s">
        <v>85</v>
      </c>
      <c r="H252">
        <v>8</v>
      </c>
      <c r="I252" t="str" cm="1">
        <f t="array" ref="I252">_xlfn.IFS(H252&lt;=5, "0-5", H252&lt;=10, "6-10", H252&lt;=15, "11-15", H252&lt;=20, "16-20", H252&gt;20, "21+")</f>
        <v>6-10</v>
      </c>
      <c r="J252">
        <v>75</v>
      </c>
      <c r="K252">
        <v>4.5999999999999996</v>
      </c>
      <c r="L252" t="s">
        <v>2085</v>
      </c>
      <c r="M252" s="1">
        <v>0.78</v>
      </c>
    </row>
    <row r="253" spans="1:13" x14ac:dyDescent="0.3">
      <c r="A253" t="s">
        <v>579</v>
      </c>
      <c r="B253" t="s">
        <v>580</v>
      </c>
      <c r="C253" t="s">
        <v>93</v>
      </c>
      <c r="D253">
        <v>43</v>
      </c>
      <c r="E253" t="s">
        <v>27</v>
      </c>
      <c r="F253" t="s">
        <v>28</v>
      </c>
      <c r="G253" t="s">
        <v>69</v>
      </c>
      <c r="H253">
        <v>3</v>
      </c>
      <c r="I253" t="str" cm="1">
        <f t="array" ref="I253">_xlfn.IFS(H253&lt;=5, "0-5", H253&lt;=10, "6-10", H253&lt;=15, "11-15", H253&lt;=20, "16-20", H253&gt;20, "21+")</f>
        <v>0-5</v>
      </c>
      <c r="J253">
        <v>50</v>
      </c>
      <c r="K253">
        <v>0</v>
      </c>
      <c r="L253" t="s">
        <v>2085</v>
      </c>
      <c r="M253" s="1">
        <v>0.81</v>
      </c>
    </row>
    <row r="254" spans="1:13" x14ac:dyDescent="0.3">
      <c r="A254" t="s">
        <v>581</v>
      </c>
      <c r="B254" t="s">
        <v>582</v>
      </c>
      <c r="C254" t="s">
        <v>93</v>
      </c>
      <c r="D254">
        <v>34</v>
      </c>
      <c r="E254" t="s">
        <v>27</v>
      </c>
      <c r="F254" t="s">
        <v>28</v>
      </c>
      <c r="G254" t="s">
        <v>48</v>
      </c>
      <c r="H254">
        <v>8</v>
      </c>
      <c r="I254" t="str" cm="1">
        <f t="array" ref="I254">_xlfn.IFS(H254&lt;=5, "0-5", H254&lt;=10, "6-10", H254&lt;=15, "11-15", H254&lt;=20, "16-20", H254&gt;20, "21+")</f>
        <v>6-10</v>
      </c>
      <c r="J254">
        <v>75</v>
      </c>
      <c r="K254">
        <v>1.8</v>
      </c>
      <c r="L254" t="s">
        <v>2086</v>
      </c>
      <c r="M254" s="1">
        <v>0.71</v>
      </c>
    </row>
    <row r="255" spans="1:13" x14ac:dyDescent="0.3">
      <c r="A255" t="s">
        <v>583</v>
      </c>
      <c r="B255" t="s">
        <v>584</v>
      </c>
      <c r="C255" t="s">
        <v>93</v>
      </c>
      <c r="D255">
        <v>24</v>
      </c>
      <c r="E255" t="s">
        <v>184</v>
      </c>
      <c r="F255" t="s">
        <v>68</v>
      </c>
      <c r="G255" t="s">
        <v>22</v>
      </c>
      <c r="H255">
        <v>12</v>
      </c>
      <c r="I255" t="str" cm="1">
        <f t="array" ref="I255">_xlfn.IFS(H255&lt;=5, "0-5", H255&lt;=10, "6-10", H255&lt;=15, "11-15", H255&lt;=20, "16-20", H255&gt;20, "21+")</f>
        <v>11-15</v>
      </c>
      <c r="J255">
        <v>75</v>
      </c>
      <c r="K255">
        <v>2</v>
      </c>
      <c r="L255" t="s">
        <v>2085</v>
      </c>
    </row>
    <row r="256" spans="1:13" x14ac:dyDescent="0.3">
      <c r="A256" t="s">
        <v>585</v>
      </c>
      <c r="B256" t="s">
        <v>586</v>
      </c>
      <c r="C256" t="s">
        <v>93</v>
      </c>
      <c r="D256">
        <v>48</v>
      </c>
      <c r="E256" t="s">
        <v>148</v>
      </c>
      <c r="F256" t="s">
        <v>149</v>
      </c>
      <c r="G256" t="s">
        <v>69</v>
      </c>
      <c r="H256">
        <v>30</v>
      </c>
      <c r="I256" t="str" cm="1">
        <f t="array" ref="I256">_xlfn.IFS(H256&lt;=5, "0-5", H256&lt;=10, "6-10", H256&lt;=15, "11-15", H256&lt;=20, "16-20", H256&gt;20, "21+")</f>
        <v>21+</v>
      </c>
      <c r="J256">
        <v>30</v>
      </c>
      <c r="K256">
        <v>5</v>
      </c>
      <c r="L256" t="s">
        <v>2086</v>
      </c>
      <c r="M256" s="1">
        <v>0.99</v>
      </c>
    </row>
    <row r="257" spans="1:13" x14ac:dyDescent="0.3">
      <c r="A257" t="s">
        <v>587</v>
      </c>
      <c r="B257" t="s">
        <v>588</v>
      </c>
      <c r="C257" t="s">
        <v>73</v>
      </c>
      <c r="D257">
        <v>39</v>
      </c>
      <c r="E257" t="s">
        <v>108</v>
      </c>
      <c r="F257" t="s">
        <v>109</v>
      </c>
      <c r="G257" t="s">
        <v>48</v>
      </c>
      <c r="H257">
        <v>21</v>
      </c>
      <c r="I257" t="str" cm="1">
        <f t="array" ref="I257">_xlfn.IFS(H257&lt;=5, "0-5", H257&lt;=10, "6-10", H257&lt;=15, "11-15", H257&lt;=20, "16-20", H257&gt;20, "21+")</f>
        <v>21+</v>
      </c>
      <c r="J257">
        <v>20</v>
      </c>
      <c r="K257">
        <v>3.2</v>
      </c>
      <c r="L257" t="s">
        <v>2086</v>
      </c>
      <c r="M257" s="1">
        <v>0.66</v>
      </c>
    </row>
    <row r="258" spans="1:13" x14ac:dyDescent="0.3">
      <c r="A258" t="s">
        <v>589</v>
      </c>
      <c r="B258" t="s">
        <v>590</v>
      </c>
      <c r="C258" t="s">
        <v>73</v>
      </c>
      <c r="D258">
        <v>57</v>
      </c>
      <c r="E258" t="s">
        <v>20</v>
      </c>
      <c r="F258" t="s">
        <v>21</v>
      </c>
      <c r="G258" t="s">
        <v>16</v>
      </c>
      <c r="H258">
        <v>17</v>
      </c>
      <c r="I258" t="str" cm="1">
        <f t="array" ref="I258">_xlfn.IFS(H258&lt;=5, "0-5", H258&lt;=10, "6-10", H258&lt;=15, "11-15", H258&lt;=20, "16-20", H258&gt;20, "21+")</f>
        <v>16-20</v>
      </c>
      <c r="J258">
        <v>30</v>
      </c>
      <c r="K258">
        <v>2.4</v>
      </c>
      <c r="M258" s="1">
        <v>0.8</v>
      </c>
    </row>
    <row r="259" spans="1:13" x14ac:dyDescent="0.3">
      <c r="A259" t="s">
        <v>591</v>
      </c>
      <c r="B259" t="s">
        <v>592</v>
      </c>
      <c r="C259" t="s">
        <v>73</v>
      </c>
      <c r="D259">
        <v>44</v>
      </c>
      <c r="E259" t="s">
        <v>123</v>
      </c>
      <c r="F259" t="s">
        <v>21</v>
      </c>
      <c r="G259" t="s">
        <v>34</v>
      </c>
      <c r="H259">
        <v>9</v>
      </c>
      <c r="I259" t="str" cm="1">
        <f t="array" ref="I259">_xlfn.IFS(H259&lt;=5, "0-5", H259&lt;=10, "6-10", H259&lt;=15, "11-15", H259&lt;=20, "16-20", H259&gt;20, "21+")</f>
        <v>6-10</v>
      </c>
      <c r="J259">
        <v>100</v>
      </c>
      <c r="K259">
        <v>2.9</v>
      </c>
      <c r="L259" t="s">
        <v>2085</v>
      </c>
      <c r="M259" s="1">
        <v>0.83</v>
      </c>
    </row>
    <row r="260" spans="1:13" x14ac:dyDescent="0.3">
      <c r="A260" t="s">
        <v>593</v>
      </c>
      <c r="B260" t="s">
        <v>594</v>
      </c>
      <c r="C260" t="s">
        <v>93</v>
      </c>
      <c r="D260">
        <v>37</v>
      </c>
      <c r="E260" t="s">
        <v>103</v>
      </c>
      <c r="F260" t="s">
        <v>104</v>
      </c>
      <c r="G260" t="s">
        <v>69</v>
      </c>
      <c r="H260">
        <v>2</v>
      </c>
      <c r="I260" t="str" cm="1">
        <f t="array" ref="I260">_xlfn.IFS(H260&lt;=5, "0-5", H260&lt;=10, "6-10", H260&lt;=15, "11-15", H260&lt;=20, "16-20", H260&gt;20, "21+")</f>
        <v>0-5</v>
      </c>
      <c r="J260">
        <v>20</v>
      </c>
      <c r="K260">
        <v>0</v>
      </c>
      <c r="L260" t="s">
        <v>2086</v>
      </c>
      <c r="M260" s="1">
        <v>0.87</v>
      </c>
    </row>
    <row r="261" spans="1:13" x14ac:dyDescent="0.3">
      <c r="A261" t="s">
        <v>595</v>
      </c>
      <c r="B261" t="s">
        <v>596</v>
      </c>
      <c r="C261" t="s">
        <v>93</v>
      </c>
      <c r="D261">
        <v>50</v>
      </c>
      <c r="E261" t="s">
        <v>59</v>
      </c>
      <c r="F261" t="s">
        <v>60</v>
      </c>
      <c r="G261" t="s">
        <v>48</v>
      </c>
      <c r="H261">
        <v>1</v>
      </c>
      <c r="I261" t="str" cm="1">
        <f t="array" ref="I261">_xlfn.IFS(H261&lt;=5, "0-5", H261&lt;=10, "6-10", H261&lt;=15, "11-15", H261&lt;=20, "16-20", H261&gt;20, "21+")</f>
        <v>0-5</v>
      </c>
      <c r="J261">
        <v>30</v>
      </c>
      <c r="K261">
        <v>3</v>
      </c>
      <c r="L261" t="s">
        <v>2085</v>
      </c>
      <c r="M261" s="1">
        <v>0.76</v>
      </c>
    </row>
    <row r="262" spans="1:13" x14ac:dyDescent="0.3">
      <c r="A262" t="s">
        <v>597</v>
      </c>
      <c r="B262" t="s">
        <v>598</v>
      </c>
      <c r="C262" t="s">
        <v>93</v>
      </c>
      <c r="D262">
        <v>50</v>
      </c>
      <c r="E262" t="s">
        <v>184</v>
      </c>
      <c r="F262" t="s">
        <v>68</v>
      </c>
      <c r="G262" t="s">
        <v>69</v>
      </c>
      <c r="H262">
        <v>23</v>
      </c>
      <c r="I262" t="str" cm="1">
        <f t="array" ref="I262">_xlfn.IFS(H262&lt;=5, "0-5", H262&lt;=10, "6-10", H262&lt;=15, "11-15", H262&lt;=20, "16-20", H262&gt;20, "21+")</f>
        <v>21+</v>
      </c>
      <c r="J262">
        <v>50</v>
      </c>
      <c r="K262">
        <v>1.6</v>
      </c>
      <c r="L262" t="s">
        <v>2085</v>
      </c>
      <c r="M262" s="1">
        <v>0.89</v>
      </c>
    </row>
    <row r="263" spans="1:13" x14ac:dyDescent="0.3">
      <c r="A263" t="s">
        <v>599</v>
      </c>
      <c r="B263" t="s">
        <v>600</v>
      </c>
      <c r="C263" t="s">
        <v>73</v>
      </c>
      <c r="D263">
        <v>28</v>
      </c>
      <c r="E263" t="s">
        <v>130</v>
      </c>
      <c r="F263" t="s">
        <v>131</v>
      </c>
      <c r="G263" t="s">
        <v>29</v>
      </c>
      <c r="H263">
        <v>8</v>
      </c>
      <c r="I263" t="str" cm="1">
        <f t="array" ref="I263">_xlfn.IFS(H263&lt;=5, "0-5", H263&lt;=10, "6-10", H263&lt;=15, "11-15", H263&lt;=20, "16-20", H263&gt;20, "21+")</f>
        <v>6-10</v>
      </c>
      <c r="J263">
        <v>20</v>
      </c>
      <c r="K263">
        <v>3.6</v>
      </c>
      <c r="L263" t="s">
        <v>2086</v>
      </c>
      <c r="M263" s="1">
        <v>0.94</v>
      </c>
    </row>
    <row r="264" spans="1:13" x14ac:dyDescent="0.3">
      <c r="A264" t="s">
        <v>601</v>
      </c>
      <c r="B264" t="s">
        <v>602</v>
      </c>
      <c r="C264" t="s">
        <v>93</v>
      </c>
      <c r="D264">
        <v>48</v>
      </c>
      <c r="E264" t="s">
        <v>14</v>
      </c>
      <c r="F264" t="s">
        <v>15</v>
      </c>
      <c r="G264" t="s">
        <v>34</v>
      </c>
      <c r="H264">
        <v>6</v>
      </c>
      <c r="I264" t="str" cm="1">
        <f t="array" ref="I264">_xlfn.IFS(H264&lt;=5, "0-5", H264&lt;=10, "6-10", H264&lt;=15, "11-15", H264&lt;=20, "16-20", H264&gt;20, "21+")</f>
        <v>6-10</v>
      </c>
      <c r="K264">
        <v>2.1</v>
      </c>
      <c r="L264" t="s">
        <v>2085</v>
      </c>
      <c r="M264" s="1">
        <v>0.68</v>
      </c>
    </row>
    <row r="265" spans="1:13" x14ac:dyDescent="0.3">
      <c r="A265" t="s">
        <v>603</v>
      </c>
      <c r="B265" t="s">
        <v>604</v>
      </c>
      <c r="C265" t="s">
        <v>93</v>
      </c>
      <c r="D265">
        <v>42</v>
      </c>
      <c r="E265" t="s">
        <v>27</v>
      </c>
      <c r="F265" t="s">
        <v>28</v>
      </c>
      <c r="G265" t="s">
        <v>85</v>
      </c>
      <c r="H265">
        <v>1</v>
      </c>
      <c r="I265" t="str" cm="1">
        <f t="array" ref="I265">_xlfn.IFS(H265&lt;=5, "0-5", H265&lt;=10, "6-10", H265&lt;=15, "11-15", H265&lt;=20, "16-20", H265&gt;20, "21+")</f>
        <v>0-5</v>
      </c>
      <c r="J265">
        <v>30</v>
      </c>
      <c r="K265">
        <v>3.6</v>
      </c>
      <c r="L265" t="s">
        <v>2086</v>
      </c>
      <c r="M265" s="1">
        <v>0.96</v>
      </c>
    </row>
    <row r="266" spans="1:13" x14ac:dyDescent="0.3">
      <c r="A266" t="s">
        <v>605</v>
      </c>
      <c r="B266" t="s">
        <v>606</v>
      </c>
      <c r="C266" t="s">
        <v>73</v>
      </c>
      <c r="D266">
        <v>37</v>
      </c>
      <c r="E266" t="s">
        <v>123</v>
      </c>
      <c r="F266" t="s">
        <v>21</v>
      </c>
      <c r="G266" t="s">
        <v>48</v>
      </c>
      <c r="H266">
        <v>19</v>
      </c>
      <c r="I266" t="str" cm="1">
        <f t="array" ref="I266">_xlfn.IFS(H266&lt;=5, "0-5", H266&lt;=10, "6-10", H266&lt;=15, "11-15", H266&lt;=20, "16-20", H266&gt;20, "21+")</f>
        <v>16-20</v>
      </c>
      <c r="J266">
        <v>20</v>
      </c>
      <c r="K266">
        <v>2.7</v>
      </c>
      <c r="L266" t="s">
        <v>2086</v>
      </c>
      <c r="M266" s="1">
        <v>0.91</v>
      </c>
    </row>
    <row r="267" spans="1:13" x14ac:dyDescent="0.3">
      <c r="A267" t="s">
        <v>607</v>
      </c>
      <c r="B267" t="s">
        <v>608</v>
      </c>
      <c r="C267" t="s">
        <v>93</v>
      </c>
      <c r="D267">
        <v>21</v>
      </c>
      <c r="E267" t="s">
        <v>89</v>
      </c>
      <c r="F267" t="s">
        <v>90</v>
      </c>
      <c r="G267" t="s">
        <v>16</v>
      </c>
      <c r="H267">
        <v>2</v>
      </c>
      <c r="I267" t="str" cm="1">
        <f t="array" ref="I267">_xlfn.IFS(H267&lt;=5, "0-5", H267&lt;=10, "6-10", H267&lt;=15, "11-15", H267&lt;=20, "16-20", H267&gt;20, "21+")</f>
        <v>0-5</v>
      </c>
      <c r="J267">
        <v>100</v>
      </c>
      <c r="K267">
        <v>2.1</v>
      </c>
      <c r="L267" t="s">
        <v>2086</v>
      </c>
      <c r="M267" s="1">
        <v>0.92</v>
      </c>
    </row>
    <row r="268" spans="1:13" x14ac:dyDescent="0.3">
      <c r="A268" t="s">
        <v>609</v>
      </c>
      <c r="B268" t="s">
        <v>610</v>
      </c>
      <c r="C268" t="s">
        <v>93</v>
      </c>
      <c r="D268">
        <v>50</v>
      </c>
      <c r="E268" t="s">
        <v>108</v>
      </c>
      <c r="F268" t="s">
        <v>109</v>
      </c>
      <c r="G268" t="s">
        <v>34</v>
      </c>
      <c r="H268">
        <v>21</v>
      </c>
      <c r="I268" t="str" cm="1">
        <f t="array" ref="I268">_xlfn.IFS(H268&lt;=5, "0-5", H268&lt;=10, "6-10", H268&lt;=15, "11-15", H268&lt;=20, "16-20", H268&gt;20, "21+")</f>
        <v>21+</v>
      </c>
      <c r="J268">
        <v>40</v>
      </c>
      <c r="K268">
        <v>4.9000000000000004</v>
      </c>
      <c r="M268" s="1">
        <v>0.82</v>
      </c>
    </row>
    <row r="269" spans="1:13" x14ac:dyDescent="0.3">
      <c r="A269" t="s">
        <v>611</v>
      </c>
      <c r="B269" t="s">
        <v>612</v>
      </c>
      <c r="C269" t="s">
        <v>73</v>
      </c>
      <c r="D269">
        <v>22</v>
      </c>
      <c r="E269" t="s">
        <v>67</v>
      </c>
      <c r="F269" t="s">
        <v>68</v>
      </c>
      <c r="G269" t="s">
        <v>42</v>
      </c>
      <c r="H269">
        <v>3</v>
      </c>
      <c r="I269" t="str" cm="1">
        <f t="array" ref="I269">_xlfn.IFS(H269&lt;=5, "0-5", H269&lt;=10, "6-10", H269&lt;=15, "11-15", H269&lt;=20, "16-20", H269&gt;20, "21+")</f>
        <v>0-5</v>
      </c>
      <c r="J269">
        <v>30</v>
      </c>
      <c r="K269">
        <v>2.1</v>
      </c>
    </row>
    <row r="270" spans="1:13" x14ac:dyDescent="0.3">
      <c r="A270" t="s">
        <v>613</v>
      </c>
      <c r="B270" t="s">
        <v>614</v>
      </c>
      <c r="C270" t="s">
        <v>73</v>
      </c>
      <c r="D270">
        <v>39</v>
      </c>
      <c r="E270" t="s">
        <v>81</v>
      </c>
      <c r="F270" t="s">
        <v>82</v>
      </c>
      <c r="G270" t="s">
        <v>34</v>
      </c>
      <c r="H270">
        <v>14</v>
      </c>
      <c r="I270" t="str" cm="1">
        <f t="array" ref="I270">_xlfn.IFS(H270&lt;=5, "0-5", H270&lt;=10, "6-10", H270&lt;=15, "11-15", H270&lt;=20, "16-20", H270&gt;20, "21+")</f>
        <v>11-15</v>
      </c>
      <c r="J270">
        <v>100</v>
      </c>
      <c r="K270">
        <v>0</v>
      </c>
      <c r="L270" t="s">
        <v>2085</v>
      </c>
      <c r="M270" s="1">
        <v>0.91</v>
      </c>
    </row>
    <row r="271" spans="1:13" x14ac:dyDescent="0.3">
      <c r="A271" t="s">
        <v>615</v>
      </c>
      <c r="B271" t="s">
        <v>616</v>
      </c>
      <c r="C271" t="s">
        <v>73</v>
      </c>
      <c r="D271">
        <v>25</v>
      </c>
      <c r="E271" t="s">
        <v>81</v>
      </c>
      <c r="F271" t="s">
        <v>82</v>
      </c>
      <c r="G271" t="s">
        <v>110</v>
      </c>
      <c r="H271">
        <v>10</v>
      </c>
      <c r="I271" t="str" cm="1">
        <f t="array" ref="I271">_xlfn.IFS(H271&lt;=5, "0-5", H271&lt;=10, "6-10", H271&lt;=15, "11-15", H271&lt;=20, "16-20", H271&gt;20, "21+")</f>
        <v>6-10</v>
      </c>
      <c r="J271">
        <v>50</v>
      </c>
      <c r="K271">
        <v>2.8</v>
      </c>
      <c r="L271" t="s">
        <v>2086</v>
      </c>
      <c r="M271" s="1">
        <v>0.86</v>
      </c>
    </row>
    <row r="272" spans="1:13" x14ac:dyDescent="0.3">
      <c r="A272" t="s">
        <v>617</v>
      </c>
      <c r="B272" t="s">
        <v>618</v>
      </c>
      <c r="C272" t="s">
        <v>73</v>
      </c>
      <c r="D272">
        <v>47</v>
      </c>
      <c r="E272" t="s">
        <v>148</v>
      </c>
      <c r="F272" t="s">
        <v>149</v>
      </c>
      <c r="G272" t="s">
        <v>22</v>
      </c>
      <c r="H272">
        <v>5</v>
      </c>
      <c r="I272" t="str" cm="1">
        <f t="array" ref="I272">_xlfn.IFS(H272&lt;=5, "0-5", H272&lt;=10, "6-10", H272&lt;=15, "11-15", H272&lt;=20, "16-20", H272&gt;20, "21+")</f>
        <v>0-5</v>
      </c>
      <c r="L272" t="s">
        <v>2085</v>
      </c>
      <c r="M272" s="1">
        <v>0.69</v>
      </c>
    </row>
    <row r="273" spans="1:13" x14ac:dyDescent="0.3">
      <c r="A273" t="s">
        <v>619</v>
      </c>
      <c r="B273" t="s">
        <v>620</v>
      </c>
      <c r="C273" t="s">
        <v>73</v>
      </c>
      <c r="D273">
        <v>35</v>
      </c>
      <c r="E273" t="s">
        <v>148</v>
      </c>
      <c r="F273" t="s">
        <v>149</v>
      </c>
      <c r="G273" t="s">
        <v>69</v>
      </c>
      <c r="H273">
        <v>21</v>
      </c>
      <c r="I273" t="str" cm="1">
        <f t="array" ref="I273">_xlfn.IFS(H273&lt;=5, "0-5", H273&lt;=10, "6-10", H273&lt;=15, "11-15", H273&lt;=20, "16-20", H273&gt;20, "21+")</f>
        <v>21+</v>
      </c>
      <c r="J273">
        <v>100</v>
      </c>
      <c r="K273">
        <v>4.7</v>
      </c>
      <c r="L273" t="s">
        <v>2086</v>
      </c>
      <c r="M273" s="1">
        <v>0.84</v>
      </c>
    </row>
    <row r="274" spans="1:13" x14ac:dyDescent="0.3">
      <c r="A274" t="s">
        <v>621</v>
      </c>
      <c r="B274" t="s">
        <v>622</v>
      </c>
      <c r="C274" t="s">
        <v>73</v>
      </c>
      <c r="E274" t="s">
        <v>63</v>
      </c>
      <c r="F274" t="s">
        <v>21</v>
      </c>
      <c r="G274" t="s">
        <v>74</v>
      </c>
      <c r="H274">
        <v>4</v>
      </c>
      <c r="I274" t="str" cm="1">
        <f t="array" ref="I274">_xlfn.IFS(H274&lt;=5, "0-5", H274&lt;=10, "6-10", H274&lt;=15, "11-15", H274&lt;=20, "16-20", H274&gt;20, "21+")</f>
        <v>0-5</v>
      </c>
      <c r="J274">
        <v>100</v>
      </c>
      <c r="K274">
        <v>1.3</v>
      </c>
      <c r="L274" t="s">
        <v>2085</v>
      </c>
      <c r="M274" s="1">
        <v>0.6</v>
      </c>
    </row>
    <row r="275" spans="1:13" x14ac:dyDescent="0.3">
      <c r="A275" t="s">
        <v>623</v>
      </c>
      <c r="B275" t="s">
        <v>2090</v>
      </c>
      <c r="C275" t="s">
        <v>93</v>
      </c>
      <c r="D275">
        <v>35</v>
      </c>
      <c r="E275" t="s">
        <v>40</v>
      </c>
      <c r="F275" t="s">
        <v>41</v>
      </c>
      <c r="G275" t="s">
        <v>16</v>
      </c>
      <c r="H275">
        <v>18</v>
      </c>
      <c r="I275" t="str" cm="1">
        <f t="array" ref="I275">_xlfn.IFS(H275&lt;=5, "0-5", H275&lt;=10, "6-10", H275&lt;=15, "11-15", H275&lt;=20, "16-20", H275&gt;20, "21+")</f>
        <v>16-20</v>
      </c>
      <c r="J275">
        <v>75</v>
      </c>
      <c r="K275">
        <v>1.6</v>
      </c>
      <c r="L275" t="s">
        <v>2086</v>
      </c>
      <c r="M275" s="1">
        <v>0.97</v>
      </c>
    </row>
    <row r="276" spans="1:13" x14ac:dyDescent="0.3">
      <c r="A276" t="s">
        <v>625</v>
      </c>
      <c r="B276" t="s">
        <v>626</v>
      </c>
      <c r="C276" t="s">
        <v>93</v>
      </c>
      <c r="D276">
        <v>59</v>
      </c>
      <c r="E276" t="s">
        <v>130</v>
      </c>
      <c r="F276" t="s">
        <v>131</v>
      </c>
      <c r="G276" t="s">
        <v>34</v>
      </c>
      <c r="H276">
        <v>12</v>
      </c>
      <c r="I276" t="str" cm="1">
        <f t="array" ref="I276">_xlfn.IFS(H276&lt;=5, "0-5", H276&lt;=10, "6-10", H276&lt;=15, "11-15", H276&lt;=20, "16-20", H276&gt;20, "21+")</f>
        <v>11-15</v>
      </c>
      <c r="J276">
        <v>100</v>
      </c>
      <c r="K276">
        <v>0</v>
      </c>
      <c r="M276" s="1">
        <v>0.7</v>
      </c>
    </row>
    <row r="277" spans="1:13" x14ac:dyDescent="0.3">
      <c r="A277" t="s">
        <v>627</v>
      </c>
      <c r="B277" t="s">
        <v>628</v>
      </c>
      <c r="C277" t="s">
        <v>73</v>
      </c>
      <c r="D277">
        <v>26</v>
      </c>
      <c r="E277" t="s">
        <v>169</v>
      </c>
      <c r="F277" t="s">
        <v>170</v>
      </c>
      <c r="G277" t="s">
        <v>69</v>
      </c>
      <c r="H277">
        <v>6</v>
      </c>
      <c r="I277" t="str" cm="1">
        <f t="array" ref="I277">_xlfn.IFS(H277&lt;=5, "0-5", H277&lt;=10, "6-10", H277&lt;=15, "11-15", H277&lt;=20, "16-20", H277&gt;20, "21+")</f>
        <v>6-10</v>
      </c>
      <c r="J277">
        <v>100</v>
      </c>
      <c r="K277">
        <v>3.6</v>
      </c>
      <c r="L277" t="s">
        <v>2085</v>
      </c>
      <c r="M277" s="1">
        <v>0.81</v>
      </c>
    </row>
    <row r="278" spans="1:13" x14ac:dyDescent="0.3">
      <c r="A278" t="s">
        <v>629</v>
      </c>
      <c r="B278" t="s">
        <v>630</v>
      </c>
      <c r="C278" t="s">
        <v>93</v>
      </c>
      <c r="D278">
        <v>44</v>
      </c>
      <c r="E278" t="s">
        <v>119</v>
      </c>
      <c r="F278" t="s">
        <v>120</v>
      </c>
      <c r="G278" t="s">
        <v>110</v>
      </c>
      <c r="H278">
        <v>4</v>
      </c>
      <c r="I278" t="str" cm="1">
        <f t="array" ref="I278">_xlfn.IFS(H278&lt;=5, "0-5", H278&lt;=10, "6-10", H278&lt;=15, "11-15", H278&lt;=20, "16-20", H278&gt;20, "21+")</f>
        <v>0-5</v>
      </c>
      <c r="J278">
        <v>20</v>
      </c>
      <c r="K278">
        <v>4.7</v>
      </c>
      <c r="L278" t="s">
        <v>2086</v>
      </c>
      <c r="M278" s="1">
        <v>0.88</v>
      </c>
    </row>
    <row r="279" spans="1:13" x14ac:dyDescent="0.3">
      <c r="A279" t="s">
        <v>631</v>
      </c>
      <c r="B279" t="s">
        <v>632</v>
      </c>
      <c r="C279" t="s">
        <v>73</v>
      </c>
      <c r="D279">
        <v>31</v>
      </c>
      <c r="E279" t="s">
        <v>148</v>
      </c>
      <c r="F279" t="s">
        <v>149</v>
      </c>
      <c r="G279" t="s">
        <v>69</v>
      </c>
      <c r="H279">
        <v>13</v>
      </c>
      <c r="I279" t="str" cm="1">
        <f t="array" ref="I279">_xlfn.IFS(H279&lt;=5, "0-5", H279&lt;=10, "6-10", H279&lt;=15, "11-15", H279&lt;=20, "16-20", H279&gt;20, "21+")</f>
        <v>11-15</v>
      </c>
      <c r="J279">
        <v>40</v>
      </c>
      <c r="L279" t="s">
        <v>2086</v>
      </c>
      <c r="M279" s="1">
        <v>1</v>
      </c>
    </row>
    <row r="280" spans="1:13" x14ac:dyDescent="0.3">
      <c r="A280" t="s">
        <v>633</v>
      </c>
      <c r="B280" t="s">
        <v>2091</v>
      </c>
      <c r="C280" t="s">
        <v>93</v>
      </c>
      <c r="D280">
        <v>60</v>
      </c>
      <c r="E280" t="s">
        <v>59</v>
      </c>
      <c r="F280" t="s">
        <v>60</v>
      </c>
      <c r="G280" t="s">
        <v>48</v>
      </c>
      <c r="H280">
        <v>6</v>
      </c>
      <c r="I280" t="str" cm="1">
        <f t="array" ref="I280">_xlfn.IFS(H280&lt;=5, "0-5", H280&lt;=10, "6-10", H280&lt;=15, "11-15", H280&lt;=20, "16-20", H280&gt;20, "21+")</f>
        <v>6-10</v>
      </c>
      <c r="K280">
        <v>3.2</v>
      </c>
      <c r="L280" t="s">
        <v>2085</v>
      </c>
      <c r="M280" s="1">
        <v>0.95</v>
      </c>
    </row>
    <row r="281" spans="1:13" x14ac:dyDescent="0.3">
      <c r="A281" t="s">
        <v>635</v>
      </c>
      <c r="B281" t="s">
        <v>636</v>
      </c>
      <c r="C281" t="s">
        <v>73</v>
      </c>
      <c r="D281">
        <v>23</v>
      </c>
      <c r="E281" t="s">
        <v>63</v>
      </c>
      <c r="F281" t="s">
        <v>21</v>
      </c>
      <c r="G281" t="s">
        <v>16</v>
      </c>
      <c r="H281">
        <v>20</v>
      </c>
      <c r="I281" t="str" cm="1">
        <f t="array" ref="I281">_xlfn.IFS(H281&lt;=5, "0-5", H281&lt;=10, "6-10", H281&lt;=15, "11-15", H281&lt;=20, "16-20", H281&gt;20, "21+")</f>
        <v>16-20</v>
      </c>
      <c r="J281">
        <v>20</v>
      </c>
      <c r="L281" t="s">
        <v>2085</v>
      </c>
      <c r="M281" s="1">
        <v>0.71</v>
      </c>
    </row>
    <row r="282" spans="1:13" x14ac:dyDescent="0.3">
      <c r="A282" t="s">
        <v>637</v>
      </c>
      <c r="B282" t="s">
        <v>638</v>
      </c>
      <c r="C282" t="s">
        <v>93</v>
      </c>
      <c r="D282">
        <v>42</v>
      </c>
      <c r="E282" t="s">
        <v>46</v>
      </c>
      <c r="F282" t="s">
        <v>47</v>
      </c>
      <c r="G282" t="s">
        <v>69</v>
      </c>
      <c r="H282">
        <v>20</v>
      </c>
      <c r="I282" t="str" cm="1">
        <f t="array" ref="I282">_xlfn.IFS(H282&lt;=5, "0-5", H282&lt;=10, "6-10", H282&lt;=15, "11-15", H282&lt;=20, "16-20", H282&gt;20, "21+")</f>
        <v>16-20</v>
      </c>
      <c r="J282">
        <v>20</v>
      </c>
      <c r="K282">
        <v>4.7</v>
      </c>
      <c r="L282" t="s">
        <v>2085</v>
      </c>
      <c r="M282" s="1">
        <v>0.85</v>
      </c>
    </row>
    <row r="283" spans="1:13" x14ac:dyDescent="0.3">
      <c r="A283" t="s">
        <v>639</v>
      </c>
      <c r="B283" t="s">
        <v>640</v>
      </c>
      <c r="C283" t="s">
        <v>73</v>
      </c>
      <c r="D283">
        <v>48</v>
      </c>
      <c r="E283" t="s">
        <v>89</v>
      </c>
      <c r="F283" t="s">
        <v>90</v>
      </c>
      <c r="G283" t="s">
        <v>22</v>
      </c>
      <c r="H283">
        <v>11</v>
      </c>
      <c r="I283" t="str" cm="1">
        <f t="array" ref="I283">_xlfn.IFS(H283&lt;=5, "0-5", H283&lt;=10, "6-10", H283&lt;=15, "11-15", H283&lt;=20, "16-20", H283&gt;20, "21+")</f>
        <v>11-15</v>
      </c>
      <c r="J283">
        <v>30</v>
      </c>
      <c r="L283" t="s">
        <v>2085</v>
      </c>
      <c r="M283" s="1">
        <v>0.96</v>
      </c>
    </row>
    <row r="284" spans="1:13" x14ac:dyDescent="0.3">
      <c r="A284" t="s">
        <v>641</v>
      </c>
      <c r="B284" t="s">
        <v>2092</v>
      </c>
      <c r="C284" t="s">
        <v>93</v>
      </c>
      <c r="D284">
        <v>42</v>
      </c>
      <c r="E284" t="s">
        <v>40</v>
      </c>
      <c r="F284" t="s">
        <v>41</v>
      </c>
      <c r="G284" t="s">
        <v>29</v>
      </c>
      <c r="H284">
        <v>12</v>
      </c>
      <c r="I284" t="str" cm="1">
        <f t="array" ref="I284">_xlfn.IFS(H284&lt;=5, "0-5", H284&lt;=10, "6-10", H284&lt;=15, "11-15", H284&lt;=20, "16-20", H284&gt;20, "21+")</f>
        <v>11-15</v>
      </c>
      <c r="J284">
        <v>20</v>
      </c>
      <c r="K284">
        <v>2.4</v>
      </c>
      <c r="L284" t="s">
        <v>2086</v>
      </c>
      <c r="M284" s="1">
        <v>0.92</v>
      </c>
    </row>
    <row r="285" spans="1:13" x14ac:dyDescent="0.3">
      <c r="A285" t="s">
        <v>643</v>
      </c>
      <c r="B285" t="s">
        <v>644</v>
      </c>
      <c r="C285" t="s">
        <v>93</v>
      </c>
      <c r="D285">
        <v>52</v>
      </c>
      <c r="E285" t="s">
        <v>108</v>
      </c>
      <c r="F285" t="s">
        <v>109</v>
      </c>
      <c r="G285" t="s">
        <v>74</v>
      </c>
      <c r="H285">
        <v>1</v>
      </c>
      <c r="I285" t="str" cm="1">
        <f t="array" ref="I285">_xlfn.IFS(H285&lt;=5, "0-5", H285&lt;=10, "6-10", H285&lt;=15, "11-15", H285&lt;=20, "16-20", H285&gt;20, "21+")</f>
        <v>0-5</v>
      </c>
      <c r="J285">
        <v>50</v>
      </c>
      <c r="L285" t="s">
        <v>2085</v>
      </c>
      <c r="M285" s="1">
        <v>0.79</v>
      </c>
    </row>
    <row r="286" spans="1:13" x14ac:dyDescent="0.3">
      <c r="A286" t="s">
        <v>645</v>
      </c>
      <c r="B286" t="s">
        <v>646</v>
      </c>
      <c r="C286" t="s">
        <v>73</v>
      </c>
      <c r="D286">
        <v>55</v>
      </c>
      <c r="E286" t="s">
        <v>81</v>
      </c>
      <c r="F286" t="s">
        <v>82</v>
      </c>
      <c r="G286" t="s">
        <v>34</v>
      </c>
      <c r="H286">
        <v>2</v>
      </c>
      <c r="I286" t="str" cm="1">
        <f t="array" ref="I286">_xlfn.IFS(H286&lt;=5, "0-5", H286&lt;=10, "6-10", H286&lt;=15, "11-15", H286&lt;=20, "16-20", H286&gt;20, "21+")</f>
        <v>0-5</v>
      </c>
      <c r="J286">
        <v>75</v>
      </c>
      <c r="K286">
        <v>2.9</v>
      </c>
      <c r="L286" t="s">
        <v>2085</v>
      </c>
    </row>
    <row r="287" spans="1:13" x14ac:dyDescent="0.3">
      <c r="A287" t="s">
        <v>647</v>
      </c>
      <c r="B287" t="s">
        <v>648</v>
      </c>
      <c r="C287" t="s">
        <v>73</v>
      </c>
      <c r="D287">
        <v>58</v>
      </c>
      <c r="E287" t="s">
        <v>148</v>
      </c>
      <c r="F287" t="s">
        <v>149</v>
      </c>
      <c r="G287" t="s">
        <v>74</v>
      </c>
      <c r="H287">
        <v>13</v>
      </c>
      <c r="I287" t="str" cm="1">
        <f t="array" ref="I287">_xlfn.IFS(H287&lt;=5, "0-5", H287&lt;=10, "6-10", H287&lt;=15, "11-15", H287&lt;=20, "16-20", H287&gt;20, "21+")</f>
        <v>11-15</v>
      </c>
      <c r="J287">
        <v>50</v>
      </c>
      <c r="K287">
        <v>0</v>
      </c>
      <c r="L287" t="s">
        <v>2085</v>
      </c>
    </row>
    <row r="288" spans="1:13" x14ac:dyDescent="0.3">
      <c r="A288" t="s">
        <v>649</v>
      </c>
      <c r="B288" t="s">
        <v>650</v>
      </c>
      <c r="C288" t="s">
        <v>73</v>
      </c>
      <c r="D288">
        <v>46</v>
      </c>
      <c r="E288" t="s">
        <v>108</v>
      </c>
      <c r="F288" t="s">
        <v>109</v>
      </c>
      <c r="G288" t="s">
        <v>110</v>
      </c>
      <c r="H288">
        <v>0</v>
      </c>
      <c r="I288" t="str" cm="1">
        <f t="array" ref="I288">_xlfn.IFS(H288&lt;=5, "0-5", H288&lt;=10, "6-10", H288&lt;=15, "11-15", H288&lt;=20, "16-20", H288&gt;20, "21+")</f>
        <v>0-5</v>
      </c>
      <c r="J288">
        <v>20</v>
      </c>
      <c r="K288">
        <v>0</v>
      </c>
      <c r="L288" t="s">
        <v>2085</v>
      </c>
      <c r="M288" s="1">
        <v>0.89</v>
      </c>
    </row>
    <row r="289" spans="1:13" x14ac:dyDescent="0.3">
      <c r="A289" t="s">
        <v>651</v>
      </c>
      <c r="B289" t="s">
        <v>652</v>
      </c>
      <c r="C289" t="s">
        <v>73</v>
      </c>
      <c r="D289">
        <v>45</v>
      </c>
      <c r="E289" t="s">
        <v>184</v>
      </c>
      <c r="F289" t="s">
        <v>68</v>
      </c>
      <c r="G289" t="s">
        <v>110</v>
      </c>
      <c r="H289">
        <v>7</v>
      </c>
      <c r="I289" t="str" cm="1">
        <f t="array" ref="I289">_xlfn.IFS(H289&lt;=5, "0-5", H289&lt;=10, "6-10", H289&lt;=15, "11-15", H289&lt;=20, "16-20", H289&gt;20, "21+")</f>
        <v>6-10</v>
      </c>
      <c r="J289">
        <v>100</v>
      </c>
      <c r="K289">
        <v>1.5</v>
      </c>
      <c r="L289" t="s">
        <v>2086</v>
      </c>
      <c r="M289" s="1">
        <v>1</v>
      </c>
    </row>
    <row r="290" spans="1:13" x14ac:dyDescent="0.3">
      <c r="A290" t="s">
        <v>653</v>
      </c>
      <c r="B290" t="s">
        <v>654</v>
      </c>
      <c r="C290" t="s">
        <v>73</v>
      </c>
      <c r="D290">
        <v>56</v>
      </c>
      <c r="E290" t="s">
        <v>89</v>
      </c>
      <c r="F290" t="s">
        <v>90</v>
      </c>
      <c r="G290" t="s">
        <v>110</v>
      </c>
      <c r="H290">
        <v>13</v>
      </c>
      <c r="I290" t="str" cm="1">
        <f t="array" ref="I290">_xlfn.IFS(H290&lt;=5, "0-5", H290&lt;=10, "6-10", H290&lt;=15, "11-15", H290&lt;=20, "16-20", H290&gt;20, "21+")</f>
        <v>11-15</v>
      </c>
      <c r="J290">
        <v>30</v>
      </c>
      <c r="K290">
        <v>1.9</v>
      </c>
      <c r="L290" t="s">
        <v>2086</v>
      </c>
      <c r="M290" s="1">
        <v>0.81</v>
      </c>
    </row>
    <row r="291" spans="1:13" x14ac:dyDescent="0.3">
      <c r="A291" t="s">
        <v>655</v>
      </c>
      <c r="B291" t="s">
        <v>656</v>
      </c>
      <c r="C291" t="s">
        <v>93</v>
      </c>
      <c r="D291">
        <v>44</v>
      </c>
      <c r="E291" t="s">
        <v>63</v>
      </c>
      <c r="F291" t="s">
        <v>21</v>
      </c>
      <c r="G291" t="s">
        <v>16</v>
      </c>
      <c r="H291">
        <v>21</v>
      </c>
      <c r="I291" t="str" cm="1">
        <f t="array" ref="I291">_xlfn.IFS(H291&lt;=5, "0-5", H291&lt;=10, "6-10", H291&lt;=15, "11-15", H291&lt;=20, "16-20", H291&gt;20, "21+")</f>
        <v>21+</v>
      </c>
      <c r="J291">
        <v>100</v>
      </c>
      <c r="K291">
        <v>3.1</v>
      </c>
      <c r="L291" t="s">
        <v>2086</v>
      </c>
      <c r="M291" s="1">
        <v>0.95</v>
      </c>
    </row>
    <row r="292" spans="1:13" x14ac:dyDescent="0.3">
      <c r="A292" t="s">
        <v>657</v>
      </c>
      <c r="B292" t="s">
        <v>658</v>
      </c>
      <c r="C292" t="s">
        <v>93</v>
      </c>
      <c r="D292">
        <v>46</v>
      </c>
      <c r="E292" t="s">
        <v>46</v>
      </c>
      <c r="F292" t="s">
        <v>47</v>
      </c>
      <c r="G292" t="s">
        <v>69</v>
      </c>
      <c r="H292">
        <v>19</v>
      </c>
      <c r="I292" t="str" cm="1">
        <f t="array" ref="I292">_xlfn.IFS(H292&lt;=5, "0-5", H292&lt;=10, "6-10", H292&lt;=15, "11-15", H292&lt;=20, "16-20", H292&gt;20, "21+")</f>
        <v>16-20</v>
      </c>
      <c r="K292">
        <v>1.8</v>
      </c>
      <c r="L292" t="s">
        <v>2085</v>
      </c>
      <c r="M292" s="1">
        <v>0.88</v>
      </c>
    </row>
    <row r="293" spans="1:13" x14ac:dyDescent="0.3">
      <c r="A293" t="s">
        <v>659</v>
      </c>
      <c r="B293" t="s">
        <v>660</v>
      </c>
      <c r="C293" t="s">
        <v>73</v>
      </c>
      <c r="D293">
        <v>27</v>
      </c>
      <c r="E293" t="s">
        <v>81</v>
      </c>
      <c r="F293" t="s">
        <v>82</v>
      </c>
      <c r="G293" t="s">
        <v>34</v>
      </c>
      <c r="H293">
        <v>34</v>
      </c>
      <c r="I293" t="str" cm="1">
        <f t="array" ref="I293">_xlfn.IFS(H293&lt;=5, "0-5", H293&lt;=10, "6-10", H293&lt;=15, "11-15", H293&lt;=20, "16-20", H293&gt;20, "21+")</f>
        <v>21+</v>
      </c>
      <c r="J293">
        <v>30</v>
      </c>
      <c r="K293">
        <v>2.4</v>
      </c>
      <c r="L293" t="s">
        <v>2086</v>
      </c>
      <c r="M293" s="1">
        <v>0.66</v>
      </c>
    </row>
    <row r="294" spans="1:13" x14ac:dyDescent="0.3">
      <c r="A294" t="s">
        <v>661</v>
      </c>
      <c r="B294" t="s">
        <v>662</v>
      </c>
      <c r="C294" t="s">
        <v>73</v>
      </c>
      <c r="D294">
        <v>49</v>
      </c>
      <c r="E294" t="s">
        <v>89</v>
      </c>
      <c r="F294" t="s">
        <v>90</v>
      </c>
      <c r="G294" t="s">
        <v>16</v>
      </c>
      <c r="H294">
        <v>3</v>
      </c>
      <c r="I294" t="str" cm="1">
        <f t="array" ref="I294">_xlfn.IFS(H294&lt;=5, "0-5", H294&lt;=10, "6-10", H294&lt;=15, "11-15", H294&lt;=20, "16-20", H294&gt;20, "21+")</f>
        <v>0-5</v>
      </c>
      <c r="J294">
        <v>100</v>
      </c>
      <c r="K294">
        <v>4.2</v>
      </c>
      <c r="L294" t="s">
        <v>2086</v>
      </c>
      <c r="M294" s="1">
        <v>0.84</v>
      </c>
    </row>
    <row r="295" spans="1:13" x14ac:dyDescent="0.3">
      <c r="A295" t="s">
        <v>663</v>
      </c>
      <c r="B295" t="s">
        <v>664</v>
      </c>
      <c r="C295" t="s">
        <v>93</v>
      </c>
      <c r="D295">
        <v>53</v>
      </c>
      <c r="E295" t="s">
        <v>173</v>
      </c>
      <c r="F295" t="s">
        <v>68</v>
      </c>
      <c r="G295" t="s">
        <v>34</v>
      </c>
      <c r="H295">
        <v>0</v>
      </c>
      <c r="I295" t="str" cm="1">
        <f t="array" ref="I295">_xlfn.IFS(H295&lt;=5, "0-5", H295&lt;=10, "6-10", H295&lt;=15, "11-15", H295&lt;=20, "16-20", H295&gt;20, "21+")</f>
        <v>0-5</v>
      </c>
      <c r="J295">
        <v>50</v>
      </c>
      <c r="K295">
        <v>1.4</v>
      </c>
      <c r="L295" t="s">
        <v>2085</v>
      </c>
    </row>
    <row r="296" spans="1:13" x14ac:dyDescent="0.3">
      <c r="A296" t="s">
        <v>665</v>
      </c>
      <c r="B296" t="s">
        <v>666</v>
      </c>
      <c r="C296" t="s">
        <v>93</v>
      </c>
      <c r="D296">
        <v>56</v>
      </c>
      <c r="E296" t="s">
        <v>20</v>
      </c>
      <c r="F296" t="s">
        <v>21</v>
      </c>
      <c r="G296" t="s">
        <v>34</v>
      </c>
      <c r="H296">
        <v>20</v>
      </c>
      <c r="I296" t="str" cm="1">
        <f t="array" ref="I296">_xlfn.IFS(H296&lt;=5, "0-5", H296&lt;=10, "6-10", H296&lt;=15, "11-15", H296&lt;=20, "16-20", H296&gt;20, "21+")</f>
        <v>16-20</v>
      </c>
      <c r="J296">
        <v>40</v>
      </c>
      <c r="K296">
        <v>1.2</v>
      </c>
      <c r="L296" t="s">
        <v>2086</v>
      </c>
      <c r="M296" s="1">
        <v>0.82</v>
      </c>
    </row>
    <row r="297" spans="1:13" x14ac:dyDescent="0.3">
      <c r="A297" t="s">
        <v>667</v>
      </c>
      <c r="B297" t="s">
        <v>668</v>
      </c>
      <c r="C297" t="s">
        <v>73</v>
      </c>
      <c r="D297">
        <v>56</v>
      </c>
      <c r="E297" t="s">
        <v>63</v>
      </c>
      <c r="F297" t="s">
        <v>21</v>
      </c>
      <c r="G297" t="s">
        <v>85</v>
      </c>
      <c r="H297">
        <v>6</v>
      </c>
      <c r="I297" t="str" cm="1">
        <f t="array" ref="I297">_xlfn.IFS(H297&lt;=5, "0-5", H297&lt;=10, "6-10", H297&lt;=15, "11-15", H297&lt;=20, "16-20", H297&gt;20, "21+")</f>
        <v>6-10</v>
      </c>
      <c r="K297">
        <v>2.1</v>
      </c>
      <c r="L297" t="s">
        <v>2086</v>
      </c>
      <c r="M297" s="1">
        <v>0.84</v>
      </c>
    </row>
    <row r="298" spans="1:13" x14ac:dyDescent="0.3">
      <c r="A298" t="s">
        <v>669</v>
      </c>
      <c r="B298" t="s">
        <v>670</v>
      </c>
      <c r="C298" t="s">
        <v>93</v>
      </c>
      <c r="D298">
        <v>38</v>
      </c>
      <c r="E298" t="s">
        <v>148</v>
      </c>
      <c r="F298" t="s">
        <v>149</v>
      </c>
      <c r="G298" t="s">
        <v>48</v>
      </c>
      <c r="H298">
        <v>13</v>
      </c>
      <c r="I298" t="str" cm="1">
        <f t="array" ref="I298">_xlfn.IFS(H298&lt;=5, "0-5", H298&lt;=10, "6-10", H298&lt;=15, "11-15", H298&lt;=20, "16-20", H298&gt;20, "21+")</f>
        <v>11-15</v>
      </c>
      <c r="J298">
        <v>100</v>
      </c>
      <c r="K298">
        <v>1.4</v>
      </c>
      <c r="L298" t="s">
        <v>2085</v>
      </c>
      <c r="M298" s="1">
        <v>0.73</v>
      </c>
    </row>
    <row r="299" spans="1:13" x14ac:dyDescent="0.3">
      <c r="A299" t="s">
        <v>671</v>
      </c>
      <c r="B299" t="s">
        <v>672</v>
      </c>
      <c r="C299" t="s">
        <v>93</v>
      </c>
      <c r="D299">
        <v>20</v>
      </c>
      <c r="E299" t="s">
        <v>108</v>
      </c>
      <c r="F299" t="s">
        <v>109</v>
      </c>
      <c r="G299" t="s">
        <v>22</v>
      </c>
      <c r="H299">
        <v>9</v>
      </c>
      <c r="I299" t="str" cm="1">
        <f t="array" ref="I299">_xlfn.IFS(H299&lt;=5, "0-5", H299&lt;=10, "6-10", H299&lt;=15, "11-15", H299&lt;=20, "16-20", H299&gt;20, "21+")</f>
        <v>6-10</v>
      </c>
      <c r="J299">
        <v>30</v>
      </c>
      <c r="K299">
        <v>3.8</v>
      </c>
      <c r="M299" s="1">
        <v>0.93</v>
      </c>
    </row>
    <row r="300" spans="1:13" x14ac:dyDescent="0.3">
      <c r="A300" t="s">
        <v>673</v>
      </c>
      <c r="B300" t="s">
        <v>674</v>
      </c>
      <c r="C300" t="s">
        <v>73</v>
      </c>
      <c r="D300">
        <v>38</v>
      </c>
      <c r="E300" t="s">
        <v>123</v>
      </c>
      <c r="F300" t="s">
        <v>21</v>
      </c>
      <c r="G300" t="s">
        <v>110</v>
      </c>
      <c r="H300">
        <v>2</v>
      </c>
      <c r="I300" t="str" cm="1">
        <f t="array" ref="I300">_xlfn.IFS(H300&lt;=5, "0-5", H300&lt;=10, "6-10", H300&lt;=15, "11-15", H300&lt;=20, "16-20", H300&gt;20, "21+")</f>
        <v>0-5</v>
      </c>
      <c r="J300">
        <v>50</v>
      </c>
      <c r="K300">
        <v>0</v>
      </c>
      <c r="M300" s="1">
        <v>0.64</v>
      </c>
    </row>
    <row r="301" spans="1:13" x14ac:dyDescent="0.3">
      <c r="A301" t="s">
        <v>675</v>
      </c>
      <c r="B301" t="s">
        <v>676</v>
      </c>
      <c r="C301" t="s">
        <v>73</v>
      </c>
      <c r="E301" t="s">
        <v>40</v>
      </c>
      <c r="F301" t="s">
        <v>41</v>
      </c>
      <c r="G301" t="s">
        <v>22</v>
      </c>
      <c r="H301">
        <v>0</v>
      </c>
      <c r="I301" t="str" cm="1">
        <f t="array" ref="I301">_xlfn.IFS(H301&lt;=5, "0-5", H301&lt;=10, "6-10", H301&lt;=15, "11-15", H301&lt;=20, "16-20", H301&gt;20, "21+")</f>
        <v>0-5</v>
      </c>
      <c r="J301">
        <v>40</v>
      </c>
      <c r="K301">
        <v>3.5</v>
      </c>
      <c r="L301" t="s">
        <v>2085</v>
      </c>
      <c r="M301" s="1">
        <v>0.76</v>
      </c>
    </row>
    <row r="302" spans="1:13" x14ac:dyDescent="0.3">
      <c r="A302" t="s">
        <v>677</v>
      </c>
      <c r="B302" t="s">
        <v>678</v>
      </c>
      <c r="C302" t="s">
        <v>93</v>
      </c>
      <c r="D302">
        <v>46</v>
      </c>
      <c r="E302" t="s">
        <v>89</v>
      </c>
      <c r="F302" t="s">
        <v>90</v>
      </c>
      <c r="G302" t="s">
        <v>110</v>
      </c>
      <c r="H302">
        <v>0</v>
      </c>
      <c r="I302" t="str" cm="1">
        <f t="array" ref="I302">_xlfn.IFS(H302&lt;=5, "0-5", H302&lt;=10, "6-10", H302&lt;=15, "11-15", H302&lt;=20, "16-20", H302&gt;20, "21+")</f>
        <v>0-5</v>
      </c>
      <c r="J302">
        <v>100</v>
      </c>
      <c r="K302">
        <v>0</v>
      </c>
      <c r="L302" t="s">
        <v>2086</v>
      </c>
      <c r="M302" s="1">
        <v>0.97</v>
      </c>
    </row>
    <row r="303" spans="1:13" x14ac:dyDescent="0.3">
      <c r="A303" t="s">
        <v>679</v>
      </c>
      <c r="B303" t="s">
        <v>680</v>
      </c>
      <c r="C303" t="s">
        <v>93</v>
      </c>
      <c r="D303">
        <v>36</v>
      </c>
      <c r="E303" t="s">
        <v>148</v>
      </c>
      <c r="F303" t="s">
        <v>149</v>
      </c>
      <c r="G303" t="s">
        <v>48</v>
      </c>
      <c r="H303">
        <v>2</v>
      </c>
      <c r="I303" t="str" cm="1">
        <f t="array" ref="I303">_xlfn.IFS(H303&lt;=5, "0-5", H303&lt;=10, "6-10", H303&lt;=15, "11-15", H303&lt;=20, "16-20", H303&gt;20, "21+")</f>
        <v>0-5</v>
      </c>
      <c r="J303">
        <v>75</v>
      </c>
      <c r="K303">
        <v>2.2000000000000002</v>
      </c>
      <c r="L303" t="s">
        <v>2085</v>
      </c>
      <c r="M303" s="1">
        <v>0.95</v>
      </c>
    </row>
    <row r="304" spans="1:13" x14ac:dyDescent="0.3">
      <c r="A304" t="s">
        <v>681</v>
      </c>
      <c r="B304" t="s">
        <v>682</v>
      </c>
      <c r="C304" t="s">
        <v>93</v>
      </c>
      <c r="D304">
        <v>33</v>
      </c>
      <c r="E304" t="s">
        <v>119</v>
      </c>
      <c r="F304" t="s">
        <v>120</v>
      </c>
      <c r="G304" t="s">
        <v>34</v>
      </c>
      <c r="H304">
        <v>2</v>
      </c>
      <c r="I304" t="str" cm="1">
        <f t="array" ref="I304">_xlfn.IFS(H304&lt;=5, "0-5", H304&lt;=10, "6-10", H304&lt;=15, "11-15", H304&lt;=20, "16-20", H304&gt;20, "21+")</f>
        <v>0-5</v>
      </c>
      <c r="J304">
        <v>75</v>
      </c>
      <c r="K304">
        <v>2.5</v>
      </c>
      <c r="L304" t="s">
        <v>2085</v>
      </c>
      <c r="M304" s="1">
        <v>0.65</v>
      </c>
    </row>
    <row r="305" spans="1:13" x14ac:dyDescent="0.3">
      <c r="A305" t="s">
        <v>683</v>
      </c>
      <c r="B305" t="s">
        <v>684</v>
      </c>
      <c r="C305" t="s">
        <v>73</v>
      </c>
      <c r="D305">
        <v>37</v>
      </c>
      <c r="E305" t="s">
        <v>123</v>
      </c>
      <c r="F305" t="s">
        <v>21</v>
      </c>
      <c r="G305" t="s">
        <v>29</v>
      </c>
      <c r="H305">
        <v>1</v>
      </c>
      <c r="I305" t="str" cm="1">
        <f t="array" ref="I305">_xlfn.IFS(H305&lt;=5, "0-5", H305&lt;=10, "6-10", H305&lt;=15, "11-15", H305&lt;=20, "16-20", H305&gt;20, "21+")</f>
        <v>0-5</v>
      </c>
      <c r="J305">
        <v>50</v>
      </c>
      <c r="K305">
        <v>4.7</v>
      </c>
      <c r="L305" t="s">
        <v>2085</v>
      </c>
      <c r="M305" s="1">
        <v>0.77</v>
      </c>
    </row>
    <row r="306" spans="1:13" x14ac:dyDescent="0.3">
      <c r="A306" t="s">
        <v>685</v>
      </c>
      <c r="B306" t="s">
        <v>686</v>
      </c>
      <c r="C306" t="s">
        <v>93</v>
      </c>
      <c r="D306">
        <v>20</v>
      </c>
      <c r="E306" t="s">
        <v>134</v>
      </c>
      <c r="F306" t="s">
        <v>135</v>
      </c>
      <c r="G306" t="s">
        <v>48</v>
      </c>
      <c r="H306">
        <v>14</v>
      </c>
      <c r="I306" t="str" cm="1">
        <f t="array" ref="I306">_xlfn.IFS(H306&lt;=5, "0-5", H306&lt;=10, "6-10", H306&lt;=15, "11-15", H306&lt;=20, "16-20", H306&gt;20, "21+")</f>
        <v>11-15</v>
      </c>
      <c r="J306">
        <v>20</v>
      </c>
      <c r="K306">
        <v>3.9</v>
      </c>
      <c r="L306" t="s">
        <v>2085</v>
      </c>
    </row>
    <row r="307" spans="1:13" x14ac:dyDescent="0.3">
      <c r="A307" t="s">
        <v>687</v>
      </c>
      <c r="B307" t="s">
        <v>688</v>
      </c>
      <c r="C307" t="s">
        <v>73</v>
      </c>
      <c r="D307">
        <v>48</v>
      </c>
      <c r="E307" t="s">
        <v>169</v>
      </c>
      <c r="F307" t="s">
        <v>170</v>
      </c>
      <c r="G307" t="s">
        <v>48</v>
      </c>
      <c r="H307">
        <v>2</v>
      </c>
      <c r="I307" t="str" cm="1">
        <f t="array" ref="I307">_xlfn.IFS(H307&lt;=5, "0-5", H307&lt;=10, "6-10", H307&lt;=15, "11-15", H307&lt;=20, "16-20", H307&gt;20, "21+")</f>
        <v>0-5</v>
      </c>
      <c r="J307">
        <v>75</v>
      </c>
      <c r="K307">
        <v>1.6</v>
      </c>
      <c r="L307" t="s">
        <v>2085</v>
      </c>
      <c r="M307" s="1">
        <v>0.67</v>
      </c>
    </row>
    <row r="308" spans="1:13" x14ac:dyDescent="0.3">
      <c r="A308" t="s">
        <v>689</v>
      </c>
      <c r="B308" t="s">
        <v>690</v>
      </c>
      <c r="C308" t="s">
        <v>93</v>
      </c>
      <c r="D308">
        <v>27</v>
      </c>
      <c r="E308" t="s">
        <v>130</v>
      </c>
      <c r="F308" t="s">
        <v>131</v>
      </c>
      <c r="G308" t="s">
        <v>74</v>
      </c>
      <c r="H308">
        <v>1</v>
      </c>
      <c r="I308" t="str" cm="1">
        <f t="array" ref="I308">_xlfn.IFS(H308&lt;=5, "0-5", H308&lt;=10, "6-10", H308&lt;=15, "11-15", H308&lt;=20, "16-20", H308&gt;20, "21+")</f>
        <v>0-5</v>
      </c>
      <c r="J308">
        <v>50</v>
      </c>
      <c r="L308" t="s">
        <v>2085</v>
      </c>
      <c r="M308" s="1">
        <v>0.84</v>
      </c>
    </row>
    <row r="309" spans="1:13" x14ac:dyDescent="0.3">
      <c r="A309" t="s">
        <v>691</v>
      </c>
      <c r="B309" t="s">
        <v>692</v>
      </c>
      <c r="C309" t="s">
        <v>93</v>
      </c>
      <c r="D309">
        <v>34</v>
      </c>
      <c r="E309" t="s">
        <v>108</v>
      </c>
      <c r="F309" t="s">
        <v>109</v>
      </c>
      <c r="G309" t="s">
        <v>22</v>
      </c>
      <c r="H309">
        <v>13</v>
      </c>
      <c r="I309" t="str" cm="1">
        <f t="array" ref="I309">_xlfn.IFS(H309&lt;=5, "0-5", H309&lt;=10, "6-10", H309&lt;=15, "11-15", H309&lt;=20, "16-20", H309&gt;20, "21+")</f>
        <v>11-15</v>
      </c>
      <c r="J309">
        <v>30</v>
      </c>
      <c r="K309">
        <v>3.6</v>
      </c>
      <c r="L309" t="s">
        <v>2086</v>
      </c>
      <c r="M309" s="1">
        <v>0.87</v>
      </c>
    </row>
    <row r="310" spans="1:13" x14ac:dyDescent="0.3">
      <c r="A310" t="s">
        <v>693</v>
      </c>
      <c r="B310" t="s">
        <v>694</v>
      </c>
      <c r="C310" t="s">
        <v>93</v>
      </c>
      <c r="D310">
        <v>55</v>
      </c>
      <c r="E310" t="s">
        <v>103</v>
      </c>
      <c r="F310" t="s">
        <v>104</v>
      </c>
      <c r="G310" t="s">
        <v>110</v>
      </c>
      <c r="H310">
        <v>23</v>
      </c>
      <c r="I310" t="str" cm="1">
        <f t="array" ref="I310">_xlfn.IFS(H310&lt;=5, "0-5", H310&lt;=10, "6-10", H310&lt;=15, "11-15", H310&lt;=20, "16-20", H310&gt;20, "21+")</f>
        <v>21+</v>
      </c>
      <c r="J310">
        <v>30</v>
      </c>
      <c r="K310">
        <v>1.2</v>
      </c>
      <c r="L310" t="s">
        <v>2086</v>
      </c>
      <c r="M310" s="1">
        <v>0.91</v>
      </c>
    </row>
    <row r="311" spans="1:13" x14ac:dyDescent="0.3">
      <c r="A311" t="s">
        <v>695</v>
      </c>
      <c r="B311" t="s">
        <v>2093</v>
      </c>
      <c r="C311" t="s">
        <v>73</v>
      </c>
      <c r="D311">
        <v>44</v>
      </c>
      <c r="E311" t="s">
        <v>148</v>
      </c>
      <c r="F311" t="s">
        <v>149</v>
      </c>
      <c r="G311" t="s">
        <v>110</v>
      </c>
      <c r="I311" t="str" cm="1">
        <f t="array" ref="I311">_xlfn.IFS(H311&lt;=5, "0-5", H311&lt;=10, "6-10", H311&lt;=15, "11-15", H311&lt;=20, "16-20", H311&gt;20, "21+")</f>
        <v>0-5</v>
      </c>
      <c r="J311">
        <v>75</v>
      </c>
      <c r="K311">
        <v>3</v>
      </c>
      <c r="L311" t="s">
        <v>2085</v>
      </c>
      <c r="M311" s="1">
        <v>0.78</v>
      </c>
    </row>
    <row r="312" spans="1:13" x14ac:dyDescent="0.3">
      <c r="A312" t="s">
        <v>697</v>
      </c>
      <c r="B312" t="s">
        <v>698</v>
      </c>
      <c r="C312" t="s">
        <v>93</v>
      </c>
      <c r="D312">
        <v>31</v>
      </c>
      <c r="E312" t="s">
        <v>40</v>
      </c>
      <c r="F312" t="s">
        <v>41</v>
      </c>
      <c r="G312" t="s">
        <v>69</v>
      </c>
      <c r="H312">
        <v>3</v>
      </c>
      <c r="I312" t="str" cm="1">
        <f t="array" ref="I312">_xlfn.IFS(H312&lt;=5, "0-5", H312&lt;=10, "6-10", H312&lt;=15, "11-15", H312&lt;=20, "16-20", H312&gt;20, "21+")</f>
        <v>0-5</v>
      </c>
      <c r="J312">
        <v>50</v>
      </c>
      <c r="K312">
        <v>3.9</v>
      </c>
      <c r="L312" t="s">
        <v>2085</v>
      </c>
    </row>
    <row r="313" spans="1:13" x14ac:dyDescent="0.3">
      <c r="A313" t="s">
        <v>699</v>
      </c>
      <c r="B313" t="s">
        <v>700</v>
      </c>
      <c r="C313" t="s">
        <v>93</v>
      </c>
      <c r="D313">
        <v>34</v>
      </c>
      <c r="E313" t="s">
        <v>20</v>
      </c>
      <c r="F313" t="s">
        <v>21</v>
      </c>
      <c r="G313" t="s">
        <v>85</v>
      </c>
      <c r="H313">
        <v>0</v>
      </c>
      <c r="I313" t="str" cm="1">
        <f t="array" ref="I313">_xlfn.IFS(H313&lt;=5, "0-5", H313&lt;=10, "6-10", H313&lt;=15, "11-15", H313&lt;=20, "16-20", H313&gt;20, "21+")</f>
        <v>0-5</v>
      </c>
      <c r="J313">
        <v>40</v>
      </c>
      <c r="K313">
        <v>1.7</v>
      </c>
      <c r="M313" s="1">
        <v>0.74</v>
      </c>
    </row>
    <row r="314" spans="1:13" x14ac:dyDescent="0.3">
      <c r="A314" t="s">
        <v>701</v>
      </c>
      <c r="B314" t="s">
        <v>702</v>
      </c>
      <c r="C314" t="s">
        <v>73</v>
      </c>
      <c r="D314">
        <v>47</v>
      </c>
      <c r="E314" t="s">
        <v>103</v>
      </c>
      <c r="F314" t="s">
        <v>104</v>
      </c>
      <c r="G314" t="s">
        <v>85</v>
      </c>
      <c r="H314">
        <v>0</v>
      </c>
      <c r="I314" t="str" cm="1">
        <f t="array" ref="I314">_xlfn.IFS(H314&lt;=5, "0-5", H314&lt;=10, "6-10", H314&lt;=15, "11-15", H314&lt;=20, "16-20", H314&gt;20, "21+")</f>
        <v>0-5</v>
      </c>
      <c r="J314">
        <v>20</v>
      </c>
      <c r="K314">
        <v>4.5</v>
      </c>
      <c r="M314" s="1">
        <v>0.91</v>
      </c>
    </row>
    <row r="315" spans="1:13" x14ac:dyDescent="0.3">
      <c r="A315" t="s">
        <v>703</v>
      </c>
      <c r="B315" t="s">
        <v>704</v>
      </c>
      <c r="C315" t="s">
        <v>93</v>
      </c>
      <c r="D315">
        <v>50</v>
      </c>
      <c r="E315" t="s">
        <v>55</v>
      </c>
      <c r="F315" t="s">
        <v>21</v>
      </c>
      <c r="G315" t="s">
        <v>29</v>
      </c>
      <c r="H315">
        <v>17</v>
      </c>
      <c r="I315" t="str" cm="1">
        <f t="array" ref="I315">_xlfn.IFS(H315&lt;=5, "0-5", H315&lt;=10, "6-10", H315&lt;=15, "11-15", H315&lt;=20, "16-20", H315&gt;20, "21+")</f>
        <v>16-20</v>
      </c>
      <c r="J315">
        <v>40</v>
      </c>
      <c r="K315">
        <v>3.6</v>
      </c>
      <c r="L315" t="s">
        <v>2086</v>
      </c>
      <c r="M315" s="1">
        <v>0.71</v>
      </c>
    </row>
    <row r="316" spans="1:13" x14ac:dyDescent="0.3">
      <c r="A316" t="s">
        <v>705</v>
      </c>
      <c r="B316" t="s">
        <v>706</v>
      </c>
      <c r="C316" t="s">
        <v>93</v>
      </c>
      <c r="D316">
        <v>39</v>
      </c>
      <c r="E316" t="s">
        <v>27</v>
      </c>
      <c r="F316" t="s">
        <v>28</v>
      </c>
      <c r="G316" t="s">
        <v>74</v>
      </c>
      <c r="H316">
        <v>9</v>
      </c>
      <c r="I316" t="str" cm="1">
        <f t="array" ref="I316">_xlfn.IFS(H316&lt;=5, "0-5", H316&lt;=10, "6-10", H316&lt;=15, "11-15", H316&lt;=20, "16-20", H316&gt;20, "21+")</f>
        <v>6-10</v>
      </c>
      <c r="J316">
        <v>75</v>
      </c>
      <c r="K316">
        <v>3.6</v>
      </c>
      <c r="L316" t="s">
        <v>2086</v>
      </c>
      <c r="M316" s="1">
        <v>0.87</v>
      </c>
    </row>
    <row r="317" spans="1:13" x14ac:dyDescent="0.3">
      <c r="A317" t="s">
        <v>707</v>
      </c>
      <c r="B317" t="s">
        <v>708</v>
      </c>
      <c r="C317" t="s">
        <v>73</v>
      </c>
      <c r="D317">
        <v>26</v>
      </c>
      <c r="E317" t="s">
        <v>67</v>
      </c>
      <c r="F317" t="s">
        <v>68</v>
      </c>
      <c r="G317" t="s">
        <v>16</v>
      </c>
      <c r="H317">
        <v>4</v>
      </c>
      <c r="I317" t="str" cm="1">
        <f t="array" ref="I317">_xlfn.IFS(H317&lt;=5, "0-5", H317&lt;=10, "6-10", H317&lt;=15, "11-15", H317&lt;=20, "16-20", H317&gt;20, "21+")</f>
        <v>0-5</v>
      </c>
      <c r="J317">
        <v>100</v>
      </c>
      <c r="K317">
        <v>2.8</v>
      </c>
      <c r="L317" t="s">
        <v>2086</v>
      </c>
      <c r="M317" s="1">
        <v>0.61</v>
      </c>
    </row>
    <row r="318" spans="1:13" x14ac:dyDescent="0.3">
      <c r="A318" t="s">
        <v>709</v>
      </c>
      <c r="B318" t="s">
        <v>710</v>
      </c>
      <c r="C318" t="s">
        <v>93</v>
      </c>
      <c r="E318" t="s">
        <v>40</v>
      </c>
      <c r="F318" t="s">
        <v>41</v>
      </c>
      <c r="G318" t="s">
        <v>85</v>
      </c>
      <c r="H318">
        <v>0</v>
      </c>
      <c r="I318" t="str" cm="1">
        <f t="array" ref="I318">_xlfn.IFS(H318&lt;=5, "0-5", H318&lt;=10, "6-10", H318&lt;=15, "11-15", H318&lt;=20, "16-20", H318&gt;20, "21+")</f>
        <v>0-5</v>
      </c>
      <c r="J318">
        <v>100</v>
      </c>
      <c r="K318">
        <v>5</v>
      </c>
      <c r="L318" t="s">
        <v>2085</v>
      </c>
    </row>
    <row r="319" spans="1:13" x14ac:dyDescent="0.3">
      <c r="A319" t="s">
        <v>711</v>
      </c>
      <c r="B319" t="s">
        <v>712</v>
      </c>
      <c r="C319" t="s">
        <v>93</v>
      </c>
      <c r="D319">
        <v>32</v>
      </c>
      <c r="E319" t="s">
        <v>27</v>
      </c>
      <c r="F319" t="s">
        <v>28</v>
      </c>
      <c r="G319" t="s">
        <v>29</v>
      </c>
      <c r="H319">
        <v>33</v>
      </c>
      <c r="I319" t="str" cm="1">
        <f t="array" ref="I319">_xlfn.IFS(H319&lt;=5, "0-5", H319&lt;=10, "6-10", H319&lt;=15, "11-15", H319&lt;=20, "16-20", H319&gt;20, "21+")</f>
        <v>21+</v>
      </c>
      <c r="J319">
        <v>100</v>
      </c>
      <c r="K319">
        <v>1.4</v>
      </c>
      <c r="L319" t="s">
        <v>2086</v>
      </c>
      <c r="M319" s="1">
        <v>0.81</v>
      </c>
    </row>
    <row r="320" spans="1:13" x14ac:dyDescent="0.3">
      <c r="A320" t="s">
        <v>713</v>
      </c>
      <c r="B320" t="s">
        <v>714</v>
      </c>
      <c r="C320" t="s">
        <v>73</v>
      </c>
      <c r="D320">
        <v>55</v>
      </c>
      <c r="E320" t="s">
        <v>119</v>
      </c>
      <c r="F320" t="s">
        <v>120</v>
      </c>
      <c r="G320" t="s">
        <v>48</v>
      </c>
      <c r="H320">
        <v>18</v>
      </c>
      <c r="I320" t="str" cm="1">
        <f t="array" ref="I320">_xlfn.IFS(H320&lt;=5, "0-5", H320&lt;=10, "6-10", H320&lt;=15, "11-15", H320&lt;=20, "16-20", H320&gt;20, "21+")</f>
        <v>16-20</v>
      </c>
      <c r="J320">
        <v>30</v>
      </c>
    </row>
    <row r="321" spans="1:13" x14ac:dyDescent="0.3">
      <c r="A321" t="s">
        <v>715</v>
      </c>
      <c r="B321" t="s">
        <v>716</v>
      </c>
      <c r="C321" t="s">
        <v>93</v>
      </c>
      <c r="D321">
        <v>32</v>
      </c>
      <c r="E321" t="s">
        <v>67</v>
      </c>
      <c r="F321" t="s">
        <v>68</v>
      </c>
      <c r="G321" t="s">
        <v>110</v>
      </c>
      <c r="H321">
        <v>9</v>
      </c>
      <c r="I321" t="str" cm="1">
        <f t="array" ref="I321">_xlfn.IFS(H321&lt;=5, "0-5", H321&lt;=10, "6-10", H321&lt;=15, "11-15", H321&lt;=20, "16-20", H321&gt;20, "21+")</f>
        <v>6-10</v>
      </c>
      <c r="J321">
        <v>40</v>
      </c>
      <c r="K321">
        <v>4.5999999999999996</v>
      </c>
      <c r="L321" t="s">
        <v>2086</v>
      </c>
      <c r="M321" s="1">
        <v>0.84</v>
      </c>
    </row>
    <row r="322" spans="1:13" x14ac:dyDescent="0.3">
      <c r="A322" t="s">
        <v>717</v>
      </c>
      <c r="B322" t="s">
        <v>718</v>
      </c>
      <c r="C322" t="s">
        <v>93</v>
      </c>
      <c r="D322">
        <v>30</v>
      </c>
      <c r="E322" t="s">
        <v>108</v>
      </c>
      <c r="F322" t="s">
        <v>109</v>
      </c>
      <c r="G322" t="s">
        <v>16</v>
      </c>
      <c r="H322">
        <v>40</v>
      </c>
      <c r="I322" t="str" cm="1">
        <f t="array" ref="I322">_xlfn.IFS(H322&lt;=5, "0-5", H322&lt;=10, "6-10", H322&lt;=15, "11-15", H322&lt;=20, "16-20", H322&gt;20, "21+")</f>
        <v>21+</v>
      </c>
      <c r="J322">
        <v>20</v>
      </c>
      <c r="K322">
        <v>3.3</v>
      </c>
      <c r="L322" t="s">
        <v>2085</v>
      </c>
    </row>
    <row r="323" spans="1:13" x14ac:dyDescent="0.3">
      <c r="A323" t="s">
        <v>719</v>
      </c>
      <c r="B323" t="s">
        <v>720</v>
      </c>
      <c r="C323" t="s">
        <v>73</v>
      </c>
      <c r="D323">
        <v>37</v>
      </c>
      <c r="E323" t="s">
        <v>123</v>
      </c>
      <c r="F323" t="s">
        <v>21</v>
      </c>
      <c r="G323" t="s">
        <v>74</v>
      </c>
      <c r="H323">
        <v>1</v>
      </c>
      <c r="I323" t="str" cm="1">
        <f t="array" ref="I323">_xlfn.IFS(H323&lt;=5, "0-5", H323&lt;=10, "6-10", H323&lt;=15, "11-15", H323&lt;=20, "16-20", H323&gt;20, "21+")</f>
        <v>0-5</v>
      </c>
      <c r="J323">
        <v>40</v>
      </c>
      <c r="K323">
        <v>3.7</v>
      </c>
      <c r="L323" t="s">
        <v>2086</v>
      </c>
    </row>
    <row r="324" spans="1:13" x14ac:dyDescent="0.3">
      <c r="A324" t="s">
        <v>721</v>
      </c>
      <c r="B324" t="s">
        <v>722</v>
      </c>
      <c r="C324" t="s">
        <v>93</v>
      </c>
      <c r="D324">
        <v>52</v>
      </c>
      <c r="E324" t="s">
        <v>103</v>
      </c>
      <c r="F324" t="s">
        <v>104</v>
      </c>
      <c r="G324" t="s">
        <v>29</v>
      </c>
      <c r="H324">
        <v>5</v>
      </c>
      <c r="I324" t="str" cm="1">
        <f t="array" ref="I324">_xlfn.IFS(H324&lt;=5, "0-5", H324&lt;=10, "6-10", H324&lt;=15, "11-15", H324&lt;=20, "16-20", H324&gt;20, "21+")</f>
        <v>0-5</v>
      </c>
      <c r="K324">
        <v>0</v>
      </c>
      <c r="L324" t="s">
        <v>2086</v>
      </c>
      <c r="M324" s="1">
        <v>0.6</v>
      </c>
    </row>
    <row r="325" spans="1:13" x14ac:dyDescent="0.3">
      <c r="A325" t="s">
        <v>723</v>
      </c>
      <c r="B325" t="s">
        <v>724</v>
      </c>
      <c r="C325" t="s">
        <v>93</v>
      </c>
      <c r="D325">
        <v>48</v>
      </c>
      <c r="E325" t="s">
        <v>89</v>
      </c>
      <c r="F325" t="s">
        <v>90</v>
      </c>
      <c r="G325" t="s">
        <v>74</v>
      </c>
      <c r="H325">
        <v>4</v>
      </c>
      <c r="I325" t="str" cm="1">
        <f t="array" ref="I325">_xlfn.IFS(H325&lt;=5, "0-5", H325&lt;=10, "6-10", H325&lt;=15, "11-15", H325&lt;=20, "16-20", H325&gt;20, "21+")</f>
        <v>0-5</v>
      </c>
      <c r="J325">
        <v>50</v>
      </c>
      <c r="K325">
        <v>0</v>
      </c>
      <c r="L325" t="s">
        <v>2086</v>
      </c>
      <c r="M325" s="1">
        <v>0.64</v>
      </c>
    </row>
    <row r="326" spans="1:13" x14ac:dyDescent="0.3">
      <c r="A326" t="s">
        <v>725</v>
      </c>
      <c r="B326" t="s">
        <v>726</v>
      </c>
      <c r="C326" t="s">
        <v>73</v>
      </c>
      <c r="D326">
        <v>28</v>
      </c>
      <c r="E326" t="s">
        <v>81</v>
      </c>
      <c r="F326" t="s">
        <v>82</v>
      </c>
      <c r="G326" t="s">
        <v>22</v>
      </c>
      <c r="H326">
        <v>13</v>
      </c>
      <c r="I326" t="str" cm="1">
        <f t="array" ref="I326">_xlfn.IFS(H326&lt;=5, "0-5", H326&lt;=10, "6-10", H326&lt;=15, "11-15", H326&lt;=20, "16-20", H326&gt;20, "21+")</f>
        <v>11-15</v>
      </c>
      <c r="J326">
        <v>40</v>
      </c>
      <c r="L326" t="s">
        <v>2086</v>
      </c>
      <c r="M326" s="1">
        <v>0.64</v>
      </c>
    </row>
    <row r="327" spans="1:13" x14ac:dyDescent="0.3">
      <c r="A327" t="s">
        <v>727</v>
      </c>
      <c r="B327" t="s">
        <v>728</v>
      </c>
      <c r="C327" t="s">
        <v>73</v>
      </c>
      <c r="D327">
        <v>58</v>
      </c>
      <c r="E327" t="s">
        <v>184</v>
      </c>
      <c r="F327" t="s">
        <v>68</v>
      </c>
      <c r="G327" t="s">
        <v>48</v>
      </c>
      <c r="H327">
        <v>33</v>
      </c>
      <c r="I327" t="str" cm="1">
        <f t="array" ref="I327">_xlfn.IFS(H327&lt;=5, "0-5", H327&lt;=10, "6-10", H327&lt;=15, "11-15", H327&lt;=20, "16-20", H327&gt;20, "21+")</f>
        <v>21+</v>
      </c>
      <c r="J327">
        <v>75</v>
      </c>
      <c r="K327">
        <v>3.4</v>
      </c>
      <c r="L327" t="s">
        <v>2086</v>
      </c>
      <c r="M327" s="1">
        <v>1</v>
      </c>
    </row>
    <row r="328" spans="1:13" x14ac:dyDescent="0.3">
      <c r="A328" t="s">
        <v>729</v>
      </c>
      <c r="B328" t="s">
        <v>730</v>
      </c>
      <c r="C328" t="s">
        <v>93</v>
      </c>
      <c r="D328">
        <v>30</v>
      </c>
      <c r="E328" t="s">
        <v>67</v>
      </c>
      <c r="F328" t="s">
        <v>68</v>
      </c>
      <c r="G328" t="s">
        <v>34</v>
      </c>
      <c r="H328">
        <v>22</v>
      </c>
      <c r="I328" t="str" cm="1">
        <f t="array" ref="I328">_xlfn.IFS(H328&lt;=5, "0-5", H328&lt;=10, "6-10", H328&lt;=15, "11-15", H328&lt;=20, "16-20", H328&gt;20, "21+")</f>
        <v>21+</v>
      </c>
      <c r="J328">
        <v>40</v>
      </c>
      <c r="K328">
        <v>1.6</v>
      </c>
      <c r="L328" t="s">
        <v>2086</v>
      </c>
      <c r="M328" s="1">
        <v>1</v>
      </c>
    </row>
    <row r="329" spans="1:13" x14ac:dyDescent="0.3">
      <c r="A329" t="s">
        <v>731</v>
      </c>
      <c r="B329" t="s">
        <v>732</v>
      </c>
      <c r="C329" t="s">
        <v>73</v>
      </c>
      <c r="D329">
        <v>47</v>
      </c>
      <c r="E329" t="s">
        <v>169</v>
      </c>
      <c r="F329" t="s">
        <v>170</v>
      </c>
      <c r="G329" t="s">
        <v>22</v>
      </c>
      <c r="H329">
        <v>34</v>
      </c>
      <c r="I329" t="str" cm="1">
        <f t="array" ref="I329">_xlfn.IFS(H329&lt;=5, "0-5", H329&lt;=10, "6-10", H329&lt;=15, "11-15", H329&lt;=20, "16-20", H329&gt;20, "21+")</f>
        <v>21+</v>
      </c>
      <c r="J329">
        <v>20</v>
      </c>
      <c r="K329">
        <v>1.9</v>
      </c>
      <c r="L329" t="s">
        <v>2085</v>
      </c>
    </row>
    <row r="330" spans="1:13" x14ac:dyDescent="0.3">
      <c r="A330" t="s">
        <v>733</v>
      </c>
      <c r="B330" t="s">
        <v>734</v>
      </c>
      <c r="C330" t="s">
        <v>93</v>
      </c>
      <c r="D330">
        <v>44</v>
      </c>
      <c r="E330" t="s">
        <v>67</v>
      </c>
      <c r="F330" t="s">
        <v>68</v>
      </c>
      <c r="G330" t="s">
        <v>42</v>
      </c>
      <c r="H330">
        <v>8</v>
      </c>
      <c r="I330" t="str" cm="1">
        <f t="array" ref="I330">_xlfn.IFS(H330&lt;=5, "0-5", H330&lt;=10, "6-10", H330&lt;=15, "11-15", H330&lt;=20, "16-20", H330&gt;20, "21+")</f>
        <v>6-10</v>
      </c>
      <c r="J330">
        <v>50</v>
      </c>
      <c r="K330">
        <v>0</v>
      </c>
      <c r="L330" t="s">
        <v>2086</v>
      </c>
      <c r="M330" s="1">
        <v>0.83</v>
      </c>
    </row>
    <row r="331" spans="1:13" x14ac:dyDescent="0.3">
      <c r="A331" t="s">
        <v>735</v>
      </c>
      <c r="B331" t="s">
        <v>736</v>
      </c>
      <c r="C331" t="s">
        <v>93</v>
      </c>
      <c r="D331">
        <v>56</v>
      </c>
      <c r="E331" t="s">
        <v>14</v>
      </c>
      <c r="F331" t="s">
        <v>15</v>
      </c>
      <c r="G331" t="s">
        <v>110</v>
      </c>
      <c r="H331">
        <v>1</v>
      </c>
      <c r="I331" t="str" cm="1">
        <f t="array" ref="I331">_xlfn.IFS(H331&lt;=5, "0-5", H331&lt;=10, "6-10", H331&lt;=15, "11-15", H331&lt;=20, "16-20", H331&gt;20, "21+")</f>
        <v>0-5</v>
      </c>
      <c r="J331">
        <v>40</v>
      </c>
      <c r="L331" t="s">
        <v>2086</v>
      </c>
      <c r="M331" s="1">
        <v>0.87</v>
      </c>
    </row>
    <row r="332" spans="1:13" x14ac:dyDescent="0.3">
      <c r="A332" t="s">
        <v>737</v>
      </c>
      <c r="B332" t="s">
        <v>738</v>
      </c>
      <c r="C332" t="s">
        <v>73</v>
      </c>
      <c r="D332">
        <v>53</v>
      </c>
      <c r="E332" t="s">
        <v>55</v>
      </c>
      <c r="F332" t="s">
        <v>21</v>
      </c>
      <c r="G332" t="s">
        <v>22</v>
      </c>
      <c r="H332">
        <v>20</v>
      </c>
      <c r="I332" t="str" cm="1">
        <f t="array" ref="I332">_xlfn.IFS(H332&lt;=5, "0-5", H332&lt;=10, "6-10", H332&lt;=15, "11-15", H332&lt;=20, "16-20", H332&gt;20, "21+")</f>
        <v>16-20</v>
      </c>
      <c r="J332">
        <v>100</v>
      </c>
      <c r="L332" t="s">
        <v>2085</v>
      </c>
      <c r="M332" s="1">
        <v>0.75</v>
      </c>
    </row>
    <row r="333" spans="1:13" x14ac:dyDescent="0.3">
      <c r="A333" t="s">
        <v>739</v>
      </c>
      <c r="B333" t="s">
        <v>740</v>
      </c>
      <c r="C333" t="s">
        <v>93</v>
      </c>
      <c r="D333">
        <v>59</v>
      </c>
      <c r="E333" t="s">
        <v>63</v>
      </c>
      <c r="F333" t="s">
        <v>21</v>
      </c>
      <c r="G333" t="s">
        <v>22</v>
      </c>
      <c r="H333">
        <v>11</v>
      </c>
      <c r="I333" t="str" cm="1">
        <f t="array" ref="I333">_xlfn.IFS(H333&lt;=5, "0-5", H333&lt;=10, "6-10", H333&lt;=15, "11-15", H333&lt;=20, "16-20", H333&gt;20, "21+")</f>
        <v>11-15</v>
      </c>
      <c r="J333">
        <v>40</v>
      </c>
      <c r="K333">
        <v>1.1000000000000001</v>
      </c>
      <c r="L333" t="s">
        <v>2086</v>
      </c>
      <c r="M333" s="1">
        <v>0.61</v>
      </c>
    </row>
    <row r="334" spans="1:13" x14ac:dyDescent="0.3">
      <c r="A334" t="s">
        <v>741</v>
      </c>
      <c r="B334" t="s">
        <v>742</v>
      </c>
      <c r="C334" t="s">
        <v>93</v>
      </c>
      <c r="D334">
        <v>60</v>
      </c>
      <c r="E334" t="s">
        <v>55</v>
      </c>
      <c r="F334" t="s">
        <v>21</v>
      </c>
      <c r="G334" t="s">
        <v>85</v>
      </c>
      <c r="H334">
        <v>2</v>
      </c>
      <c r="I334" t="str" cm="1">
        <f t="array" ref="I334">_xlfn.IFS(H334&lt;=5, "0-5", H334&lt;=10, "6-10", H334&lt;=15, "11-15", H334&lt;=20, "16-20", H334&gt;20, "21+")</f>
        <v>0-5</v>
      </c>
      <c r="K334">
        <v>2.5</v>
      </c>
      <c r="L334" t="s">
        <v>2085</v>
      </c>
      <c r="M334" s="1">
        <v>0.93</v>
      </c>
    </row>
    <row r="335" spans="1:13" x14ac:dyDescent="0.3">
      <c r="A335" t="s">
        <v>743</v>
      </c>
      <c r="B335" t="s">
        <v>744</v>
      </c>
      <c r="C335" t="s">
        <v>73</v>
      </c>
      <c r="D335">
        <v>33</v>
      </c>
      <c r="E335" t="s">
        <v>27</v>
      </c>
      <c r="F335" t="s">
        <v>28</v>
      </c>
      <c r="G335" t="s">
        <v>22</v>
      </c>
      <c r="H335">
        <v>6</v>
      </c>
      <c r="I335" t="str" cm="1">
        <f t="array" ref="I335">_xlfn.IFS(H335&lt;=5, "0-5", H335&lt;=10, "6-10", H335&lt;=15, "11-15", H335&lt;=20, "16-20", H335&gt;20, "21+")</f>
        <v>6-10</v>
      </c>
      <c r="J335">
        <v>30</v>
      </c>
      <c r="K335">
        <v>3.6</v>
      </c>
      <c r="L335" t="s">
        <v>2086</v>
      </c>
    </row>
    <row r="336" spans="1:13" x14ac:dyDescent="0.3">
      <c r="A336" t="s">
        <v>745</v>
      </c>
      <c r="B336" t="s">
        <v>746</v>
      </c>
      <c r="C336" t="s">
        <v>73</v>
      </c>
      <c r="D336">
        <v>21</v>
      </c>
      <c r="E336" t="s">
        <v>67</v>
      </c>
      <c r="F336" t="s">
        <v>68</v>
      </c>
      <c r="G336" t="s">
        <v>34</v>
      </c>
      <c r="H336">
        <v>20</v>
      </c>
      <c r="I336" t="str" cm="1">
        <f t="array" ref="I336">_xlfn.IFS(H336&lt;=5, "0-5", H336&lt;=10, "6-10", H336&lt;=15, "11-15", H336&lt;=20, "16-20", H336&gt;20, "21+")</f>
        <v>16-20</v>
      </c>
      <c r="J336">
        <v>20</v>
      </c>
      <c r="L336" t="s">
        <v>2085</v>
      </c>
      <c r="M336" s="1">
        <v>0.99</v>
      </c>
    </row>
    <row r="337" spans="1:13" x14ac:dyDescent="0.3">
      <c r="A337" t="s">
        <v>747</v>
      </c>
      <c r="B337" t="s">
        <v>748</v>
      </c>
      <c r="C337" t="s">
        <v>93</v>
      </c>
      <c r="D337">
        <v>54</v>
      </c>
      <c r="E337" t="s">
        <v>63</v>
      </c>
      <c r="F337" t="s">
        <v>21</v>
      </c>
      <c r="G337" t="s">
        <v>69</v>
      </c>
      <c r="I337" t="str" cm="1">
        <f t="array" ref="I337">_xlfn.IFS(H337&lt;=5, "0-5", H337&lt;=10, "6-10", H337&lt;=15, "11-15", H337&lt;=20, "16-20", H337&gt;20, "21+")</f>
        <v>0-5</v>
      </c>
      <c r="J337">
        <v>50</v>
      </c>
      <c r="K337">
        <v>4.4000000000000004</v>
      </c>
      <c r="L337" t="s">
        <v>2085</v>
      </c>
      <c r="M337" s="1">
        <v>0.73</v>
      </c>
    </row>
    <row r="338" spans="1:13" x14ac:dyDescent="0.3">
      <c r="A338" t="s">
        <v>749</v>
      </c>
      <c r="B338" t="s">
        <v>750</v>
      </c>
      <c r="C338" t="s">
        <v>73</v>
      </c>
      <c r="D338">
        <v>33</v>
      </c>
      <c r="E338" t="s">
        <v>55</v>
      </c>
      <c r="F338" t="s">
        <v>21</v>
      </c>
      <c r="G338" t="s">
        <v>29</v>
      </c>
      <c r="H338">
        <v>4</v>
      </c>
      <c r="I338" t="str" cm="1">
        <f t="array" ref="I338">_xlfn.IFS(H338&lt;=5, "0-5", H338&lt;=10, "6-10", H338&lt;=15, "11-15", H338&lt;=20, "16-20", H338&gt;20, "21+")</f>
        <v>0-5</v>
      </c>
      <c r="J338">
        <v>75</v>
      </c>
      <c r="K338">
        <v>2.1</v>
      </c>
      <c r="L338" t="s">
        <v>2085</v>
      </c>
      <c r="M338" s="1">
        <v>0.96</v>
      </c>
    </row>
    <row r="339" spans="1:13" x14ac:dyDescent="0.3">
      <c r="A339" t="s">
        <v>751</v>
      </c>
      <c r="B339" t="s">
        <v>752</v>
      </c>
      <c r="C339" t="s">
        <v>73</v>
      </c>
      <c r="D339">
        <v>57</v>
      </c>
      <c r="E339" t="s">
        <v>59</v>
      </c>
      <c r="F339" t="s">
        <v>60</v>
      </c>
      <c r="G339" t="s">
        <v>48</v>
      </c>
      <c r="H339">
        <v>3</v>
      </c>
      <c r="I339" t="str" cm="1">
        <f t="array" ref="I339">_xlfn.IFS(H339&lt;=5, "0-5", H339&lt;=10, "6-10", H339&lt;=15, "11-15", H339&lt;=20, "16-20", H339&gt;20, "21+")</f>
        <v>0-5</v>
      </c>
      <c r="J339">
        <v>40</v>
      </c>
      <c r="K339">
        <v>0</v>
      </c>
      <c r="L339" t="s">
        <v>2085</v>
      </c>
      <c r="M339" s="1">
        <v>0.6</v>
      </c>
    </row>
    <row r="340" spans="1:13" x14ac:dyDescent="0.3">
      <c r="A340" t="s">
        <v>753</v>
      </c>
      <c r="B340" t="s">
        <v>754</v>
      </c>
      <c r="C340" t="s">
        <v>93</v>
      </c>
      <c r="D340">
        <v>36</v>
      </c>
      <c r="E340" t="s">
        <v>108</v>
      </c>
      <c r="F340" t="s">
        <v>109</v>
      </c>
      <c r="G340" t="s">
        <v>29</v>
      </c>
      <c r="H340">
        <v>33</v>
      </c>
      <c r="I340" t="str" cm="1">
        <f t="array" ref="I340">_xlfn.IFS(H340&lt;=5, "0-5", H340&lt;=10, "6-10", H340&lt;=15, "11-15", H340&lt;=20, "16-20", H340&gt;20, "21+")</f>
        <v>21+</v>
      </c>
      <c r="J340">
        <v>20</v>
      </c>
      <c r="K340">
        <v>1</v>
      </c>
      <c r="L340" t="s">
        <v>2086</v>
      </c>
      <c r="M340" s="1">
        <v>0.64</v>
      </c>
    </row>
    <row r="341" spans="1:13" x14ac:dyDescent="0.3">
      <c r="A341" t="s">
        <v>755</v>
      </c>
      <c r="B341" t="s">
        <v>756</v>
      </c>
      <c r="C341" t="s">
        <v>93</v>
      </c>
      <c r="D341">
        <v>50</v>
      </c>
      <c r="E341" t="s">
        <v>27</v>
      </c>
      <c r="F341" t="s">
        <v>28</v>
      </c>
      <c r="G341" t="s">
        <v>16</v>
      </c>
      <c r="H341">
        <v>1</v>
      </c>
      <c r="I341" t="str" cm="1">
        <f t="array" ref="I341">_xlfn.IFS(H341&lt;=5, "0-5", H341&lt;=10, "6-10", H341&lt;=15, "11-15", H341&lt;=20, "16-20", H341&gt;20, "21+")</f>
        <v>0-5</v>
      </c>
      <c r="J341">
        <v>30</v>
      </c>
      <c r="K341">
        <v>0</v>
      </c>
      <c r="L341" t="s">
        <v>2085</v>
      </c>
    </row>
    <row r="342" spans="1:13" x14ac:dyDescent="0.3">
      <c r="A342" t="s">
        <v>757</v>
      </c>
      <c r="B342" t="s">
        <v>758</v>
      </c>
      <c r="C342" t="s">
        <v>73</v>
      </c>
      <c r="D342">
        <v>37</v>
      </c>
      <c r="E342" t="s">
        <v>123</v>
      </c>
      <c r="F342" t="s">
        <v>21</v>
      </c>
      <c r="G342" t="s">
        <v>85</v>
      </c>
      <c r="H342">
        <v>23</v>
      </c>
      <c r="I342" t="str" cm="1">
        <f t="array" ref="I342">_xlfn.IFS(H342&lt;=5, "0-5", H342&lt;=10, "6-10", H342&lt;=15, "11-15", H342&lt;=20, "16-20", H342&gt;20, "21+")</f>
        <v>21+</v>
      </c>
      <c r="J342">
        <v>20</v>
      </c>
      <c r="K342">
        <v>4.9000000000000004</v>
      </c>
      <c r="L342" t="s">
        <v>2085</v>
      </c>
    </row>
    <row r="343" spans="1:13" x14ac:dyDescent="0.3">
      <c r="A343" t="s">
        <v>759</v>
      </c>
      <c r="B343" t="s">
        <v>760</v>
      </c>
      <c r="C343" t="s">
        <v>93</v>
      </c>
      <c r="D343">
        <v>53</v>
      </c>
      <c r="E343" t="s">
        <v>14</v>
      </c>
      <c r="F343" t="s">
        <v>15</v>
      </c>
      <c r="G343" t="s">
        <v>42</v>
      </c>
      <c r="H343">
        <v>13</v>
      </c>
      <c r="I343" t="str" cm="1">
        <f t="array" ref="I343">_xlfn.IFS(H343&lt;=5, "0-5", H343&lt;=10, "6-10", H343&lt;=15, "11-15", H343&lt;=20, "16-20", H343&gt;20, "21+")</f>
        <v>11-15</v>
      </c>
      <c r="J343">
        <v>30</v>
      </c>
      <c r="K343">
        <v>4.7</v>
      </c>
      <c r="L343" t="s">
        <v>2085</v>
      </c>
      <c r="M343" s="1">
        <v>0.99</v>
      </c>
    </row>
    <row r="344" spans="1:13" x14ac:dyDescent="0.3">
      <c r="A344" t="s">
        <v>761</v>
      </c>
      <c r="B344" t="s">
        <v>762</v>
      </c>
      <c r="C344" t="s">
        <v>73</v>
      </c>
      <c r="D344">
        <v>22</v>
      </c>
      <c r="E344" t="s">
        <v>14</v>
      </c>
      <c r="F344" t="s">
        <v>15</v>
      </c>
      <c r="G344" t="s">
        <v>16</v>
      </c>
      <c r="H344">
        <v>1</v>
      </c>
      <c r="I344" t="str" cm="1">
        <f t="array" ref="I344">_xlfn.IFS(H344&lt;=5, "0-5", H344&lt;=10, "6-10", H344&lt;=15, "11-15", H344&lt;=20, "16-20", H344&gt;20, "21+")</f>
        <v>0-5</v>
      </c>
      <c r="J344">
        <v>40</v>
      </c>
      <c r="K344">
        <v>2.1</v>
      </c>
      <c r="L344" t="s">
        <v>2085</v>
      </c>
    </row>
    <row r="345" spans="1:13" x14ac:dyDescent="0.3">
      <c r="A345" t="s">
        <v>763</v>
      </c>
      <c r="B345" t="s">
        <v>764</v>
      </c>
      <c r="C345" t="s">
        <v>73</v>
      </c>
      <c r="D345">
        <v>55</v>
      </c>
      <c r="E345" t="s">
        <v>40</v>
      </c>
      <c r="F345" t="s">
        <v>41</v>
      </c>
      <c r="G345" t="s">
        <v>22</v>
      </c>
      <c r="H345">
        <v>15</v>
      </c>
      <c r="I345" t="str" cm="1">
        <f t="array" ref="I345">_xlfn.IFS(H345&lt;=5, "0-5", H345&lt;=10, "6-10", H345&lt;=15, "11-15", H345&lt;=20, "16-20", H345&gt;20, "21+")</f>
        <v>11-15</v>
      </c>
      <c r="J345">
        <v>40</v>
      </c>
      <c r="K345">
        <v>1.5</v>
      </c>
      <c r="L345" t="s">
        <v>2086</v>
      </c>
      <c r="M345" s="1">
        <v>0.71</v>
      </c>
    </row>
    <row r="346" spans="1:13" x14ac:dyDescent="0.3">
      <c r="A346" t="s">
        <v>765</v>
      </c>
      <c r="B346" t="s">
        <v>766</v>
      </c>
      <c r="C346" t="s">
        <v>93</v>
      </c>
      <c r="D346">
        <v>22</v>
      </c>
      <c r="E346" t="s">
        <v>20</v>
      </c>
      <c r="F346" t="s">
        <v>21</v>
      </c>
      <c r="G346" t="s">
        <v>74</v>
      </c>
      <c r="H346">
        <v>18</v>
      </c>
      <c r="I346" t="str" cm="1">
        <f t="array" ref="I346">_xlfn.IFS(H346&lt;=5, "0-5", H346&lt;=10, "6-10", H346&lt;=15, "11-15", H346&lt;=20, "16-20", H346&gt;20, "21+")</f>
        <v>16-20</v>
      </c>
      <c r="K346">
        <v>2.6</v>
      </c>
      <c r="L346" t="s">
        <v>2085</v>
      </c>
      <c r="M346" s="1">
        <v>0.72</v>
      </c>
    </row>
    <row r="347" spans="1:13" x14ac:dyDescent="0.3">
      <c r="A347" t="s">
        <v>767</v>
      </c>
      <c r="B347" t="s">
        <v>768</v>
      </c>
      <c r="C347" t="s">
        <v>73</v>
      </c>
      <c r="D347">
        <v>45</v>
      </c>
      <c r="E347" t="s">
        <v>59</v>
      </c>
      <c r="F347" t="s">
        <v>60</v>
      </c>
      <c r="G347" t="s">
        <v>34</v>
      </c>
      <c r="H347">
        <v>21</v>
      </c>
      <c r="I347" t="str" cm="1">
        <f t="array" ref="I347">_xlfn.IFS(H347&lt;=5, "0-5", H347&lt;=10, "6-10", H347&lt;=15, "11-15", H347&lt;=20, "16-20", H347&gt;20, "21+")</f>
        <v>21+</v>
      </c>
      <c r="J347">
        <v>50</v>
      </c>
      <c r="K347">
        <v>0</v>
      </c>
      <c r="L347" t="s">
        <v>2085</v>
      </c>
      <c r="M347" s="1">
        <v>0.66</v>
      </c>
    </row>
    <row r="348" spans="1:13" x14ac:dyDescent="0.3">
      <c r="A348" t="s">
        <v>769</v>
      </c>
      <c r="B348" t="s">
        <v>770</v>
      </c>
      <c r="C348" t="s">
        <v>93</v>
      </c>
      <c r="D348">
        <v>36</v>
      </c>
      <c r="E348" t="s">
        <v>130</v>
      </c>
      <c r="F348" t="s">
        <v>131</v>
      </c>
      <c r="G348" t="s">
        <v>48</v>
      </c>
      <c r="H348">
        <v>1</v>
      </c>
      <c r="I348" t="str" cm="1">
        <f t="array" ref="I348">_xlfn.IFS(H348&lt;=5, "0-5", H348&lt;=10, "6-10", H348&lt;=15, "11-15", H348&lt;=20, "16-20", H348&gt;20, "21+")</f>
        <v>0-5</v>
      </c>
      <c r="J348">
        <v>40</v>
      </c>
      <c r="L348" t="s">
        <v>2085</v>
      </c>
      <c r="M348" s="1">
        <v>0.78</v>
      </c>
    </row>
    <row r="349" spans="1:13" x14ac:dyDescent="0.3">
      <c r="A349" t="s">
        <v>771</v>
      </c>
      <c r="B349" t="s">
        <v>772</v>
      </c>
      <c r="C349" t="s">
        <v>93</v>
      </c>
      <c r="D349">
        <v>23</v>
      </c>
      <c r="E349" t="s">
        <v>20</v>
      </c>
      <c r="F349" t="s">
        <v>21</v>
      </c>
      <c r="G349" t="s">
        <v>85</v>
      </c>
      <c r="H349">
        <v>25</v>
      </c>
      <c r="I349" t="str" cm="1">
        <f t="array" ref="I349">_xlfn.IFS(H349&lt;=5, "0-5", H349&lt;=10, "6-10", H349&lt;=15, "11-15", H349&lt;=20, "16-20", H349&gt;20, "21+")</f>
        <v>21+</v>
      </c>
      <c r="J349">
        <v>20</v>
      </c>
      <c r="K349">
        <v>4</v>
      </c>
      <c r="L349" t="s">
        <v>2086</v>
      </c>
      <c r="M349" s="1">
        <v>1</v>
      </c>
    </row>
    <row r="350" spans="1:13" x14ac:dyDescent="0.3">
      <c r="A350" t="s">
        <v>773</v>
      </c>
      <c r="B350" t="s">
        <v>774</v>
      </c>
      <c r="C350" t="s">
        <v>93</v>
      </c>
      <c r="D350">
        <v>55</v>
      </c>
      <c r="E350" t="s">
        <v>14</v>
      </c>
      <c r="F350" t="s">
        <v>15</v>
      </c>
      <c r="G350" t="s">
        <v>85</v>
      </c>
      <c r="H350">
        <v>12</v>
      </c>
      <c r="I350" t="str" cm="1">
        <f t="array" ref="I350">_xlfn.IFS(H350&lt;=5, "0-5", H350&lt;=10, "6-10", H350&lt;=15, "11-15", H350&lt;=20, "16-20", H350&gt;20, "21+")</f>
        <v>11-15</v>
      </c>
      <c r="J350">
        <v>40</v>
      </c>
      <c r="K350">
        <v>4.5</v>
      </c>
    </row>
    <row r="351" spans="1:13" x14ac:dyDescent="0.3">
      <c r="A351" t="s">
        <v>775</v>
      </c>
      <c r="B351" t="s">
        <v>776</v>
      </c>
      <c r="C351" t="s">
        <v>73</v>
      </c>
      <c r="D351">
        <v>50</v>
      </c>
      <c r="E351" t="s">
        <v>103</v>
      </c>
      <c r="F351" t="s">
        <v>104</v>
      </c>
      <c r="G351" t="s">
        <v>22</v>
      </c>
      <c r="H351">
        <v>32</v>
      </c>
      <c r="I351" t="str" cm="1">
        <f t="array" ref="I351">_xlfn.IFS(H351&lt;=5, "0-5", H351&lt;=10, "6-10", H351&lt;=15, "11-15", H351&lt;=20, "16-20", H351&gt;20, "21+")</f>
        <v>21+</v>
      </c>
      <c r="J351">
        <v>75</v>
      </c>
      <c r="K351">
        <v>3.8</v>
      </c>
      <c r="L351" t="s">
        <v>2085</v>
      </c>
      <c r="M351" s="1">
        <v>0.67</v>
      </c>
    </row>
    <row r="352" spans="1:13" x14ac:dyDescent="0.3">
      <c r="A352" t="s">
        <v>777</v>
      </c>
      <c r="B352" t="s">
        <v>778</v>
      </c>
      <c r="C352" t="s">
        <v>93</v>
      </c>
      <c r="D352">
        <v>48</v>
      </c>
      <c r="E352" t="s">
        <v>55</v>
      </c>
      <c r="F352" t="s">
        <v>21</v>
      </c>
      <c r="G352" t="s">
        <v>110</v>
      </c>
      <c r="I352" t="str" cm="1">
        <f t="array" ref="I352">_xlfn.IFS(H352&lt;=5, "0-5", H352&lt;=10, "6-10", H352&lt;=15, "11-15", H352&lt;=20, "16-20", H352&gt;20, "21+")</f>
        <v>0-5</v>
      </c>
      <c r="J352">
        <v>50</v>
      </c>
      <c r="K352">
        <v>4</v>
      </c>
      <c r="L352" t="s">
        <v>2085</v>
      </c>
      <c r="M352" s="1">
        <v>0.78</v>
      </c>
    </row>
    <row r="353" spans="1:13" x14ac:dyDescent="0.3">
      <c r="A353" t="s">
        <v>779</v>
      </c>
      <c r="B353" t="s">
        <v>780</v>
      </c>
      <c r="C353" t="s">
        <v>93</v>
      </c>
      <c r="D353">
        <v>23</v>
      </c>
      <c r="E353" t="s">
        <v>40</v>
      </c>
      <c r="F353" t="s">
        <v>41</v>
      </c>
      <c r="G353" t="s">
        <v>85</v>
      </c>
      <c r="H353">
        <v>10</v>
      </c>
      <c r="I353" t="str" cm="1">
        <f t="array" ref="I353">_xlfn.IFS(H353&lt;=5, "0-5", H353&lt;=10, "6-10", H353&lt;=15, "11-15", H353&lt;=20, "16-20", H353&gt;20, "21+")</f>
        <v>6-10</v>
      </c>
      <c r="J353">
        <v>40</v>
      </c>
      <c r="K353">
        <v>4.9000000000000004</v>
      </c>
      <c r="L353" t="s">
        <v>2086</v>
      </c>
      <c r="M353" s="1">
        <v>0.78</v>
      </c>
    </row>
    <row r="354" spans="1:13" x14ac:dyDescent="0.3">
      <c r="A354" t="s">
        <v>781</v>
      </c>
      <c r="B354" t="s">
        <v>782</v>
      </c>
      <c r="C354" t="s">
        <v>73</v>
      </c>
      <c r="D354">
        <v>49</v>
      </c>
      <c r="E354" t="s">
        <v>123</v>
      </c>
      <c r="F354" t="s">
        <v>21</v>
      </c>
      <c r="G354" t="s">
        <v>34</v>
      </c>
      <c r="H354">
        <v>0</v>
      </c>
      <c r="I354" t="str" cm="1">
        <f t="array" ref="I354">_xlfn.IFS(H354&lt;=5, "0-5", H354&lt;=10, "6-10", H354&lt;=15, "11-15", H354&lt;=20, "16-20", H354&gt;20, "21+")</f>
        <v>0-5</v>
      </c>
      <c r="J354">
        <v>30</v>
      </c>
      <c r="K354">
        <v>3.4</v>
      </c>
      <c r="L354" t="s">
        <v>2085</v>
      </c>
      <c r="M354" s="1">
        <v>0.75</v>
      </c>
    </row>
    <row r="355" spans="1:13" x14ac:dyDescent="0.3">
      <c r="A355" t="s">
        <v>783</v>
      </c>
      <c r="B355" t="s">
        <v>784</v>
      </c>
      <c r="C355" t="s">
        <v>73</v>
      </c>
      <c r="D355">
        <v>47</v>
      </c>
      <c r="E355" t="s">
        <v>14</v>
      </c>
      <c r="F355" t="s">
        <v>15</v>
      </c>
      <c r="G355" t="s">
        <v>74</v>
      </c>
      <c r="H355">
        <v>1</v>
      </c>
      <c r="I355" t="str" cm="1">
        <f t="array" ref="I355">_xlfn.IFS(H355&lt;=5, "0-5", H355&lt;=10, "6-10", H355&lt;=15, "11-15", H355&lt;=20, "16-20", H355&gt;20, "21+")</f>
        <v>0-5</v>
      </c>
      <c r="J355">
        <v>50</v>
      </c>
      <c r="K355">
        <v>2.1</v>
      </c>
      <c r="L355" t="s">
        <v>2086</v>
      </c>
      <c r="M355" s="1">
        <v>0.67</v>
      </c>
    </row>
    <row r="356" spans="1:13" x14ac:dyDescent="0.3">
      <c r="A356" t="s">
        <v>785</v>
      </c>
      <c r="B356" t="s">
        <v>786</v>
      </c>
      <c r="C356" t="s">
        <v>73</v>
      </c>
      <c r="D356">
        <v>56</v>
      </c>
      <c r="E356" t="s">
        <v>81</v>
      </c>
      <c r="F356" t="s">
        <v>82</v>
      </c>
      <c r="G356" t="s">
        <v>29</v>
      </c>
      <c r="H356">
        <v>2</v>
      </c>
      <c r="I356" t="str" cm="1">
        <f t="array" ref="I356">_xlfn.IFS(H356&lt;=5, "0-5", H356&lt;=10, "6-10", H356&lt;=15, "11-15", H356&lt;=20, "16-20", H356&gt;20, "21+")</f>
        <v>0-5</v>
      </c>
      <c r="J356">
        <v>40</v>
      </c>
      <c r="K356">
        <v>0</v>
      </c>
      <c r="L356" t="s">
        <v>2086</v>
      </c>
      <c r="M356" s="1">
        <v>0.86</v>
      </c>
    </row>
    <row r="357" spans="1:13" x14ac:dyDescent="0.3">
      <c r="A357" t="s">
        <v>787</v>
      </c>
      <c r="B357" t="s">
        <v>788</v>
      </c>
      <c r="C357" t="s">
        <v>93</v>
      </c>
      <c r="D357">
        <v>58</v>
      </c>
      <c r="E357" t="s">
        <v>67</v>
      </c>
      <c r="F357" t="s">
        <v>68</v>
      </c>
      <c r="G357" t="s">
        <v>69</v>
      </c>
      <c r="H357">
        <v>9</v>
      </c>
      <c r="I357" t="str" cm="1">
        <f t="array" ref="I357">_xlfn.IFS(H357&lt;=5, "0-5", H357&lt;=10, "6-10", H357&lt;=15, "11-15", H357&lt;=20, "16-20", H357&gt;20, "21+")</f>
        <v>6-10</v>
      </c>
      <c r="J357">
        <v>100</v>
      </c>
      <c r="K357">
        <v>4.5</v>
      </c>
      <c r="L357" t="s">
        <v>2085</v>
      </c>
      <c r="M357" s="1">
        <v>0.77</v>
      </c>
    </row>
    <row r="358" spans="1:13" x14ac:dyDescent="0.3">
      <c r="A358" t="s">
        <v>789</v>
      </c>
      <c r="B358" t="s">
        <v>790</v>
      </c>
      <c r="C358" t="s">
        <v>93</v>
      </c>
      <c r="D358">
        <v>32</v>
      </c>
      <c r="E358" t="s">
        <v>108</v>
      </c>
      <c r="F358" t="s">
        <v>109</v>
      </c>
      <c r="G358" t="s">
        <v>69</v>
      </c>
      <c r="H358">
        <v>22</v>
      </c>
      <c r="I358" t="str" cm="1">
        <f t="array" ref="I358">_xlfn.IFS(H358&lt;=5, "0-5", H358&lt;=10, "6-10", H358&lt;=15, "11-15", H358&lt;=20, "16-20", H358&gt;20, "21+")</f>
        <v>21+</v>
      </c>
      <c r="J358">
        <v>30</v>
      </c>
      <c r="K358">
        <v>3.8</v>
      </c>
      <c r="L358" t="s">
        <v>2085</v>
      </c>
      <c r="M358" s="1">
        <v>0.61</v>
      </c>
    </row>
    <row r="359" spans="1:13" x14ac:dyDescent="0.3">
      <c r="A359" t="s">
        <v>791</v>
      </c>
      <c r="B359" t="s">
        <v>792</v>
      </c>
      <c r="C359" t="s">
        <v>73</v>
      </c>
      <c r="D359">
        <v>52</v>
      </c>
      <c r="E359" t="s">
        <v>89</v>
      </c>
      <c r="F359" t="s">
        <v>90</v>
      </c>
      <c r="G359" t="s">
        <v>69</v>
      </c>
      <c r="H359">
        <v>5</v>
      </c>
      <c r="I359" t="str" cm="1">
        <f t="array" ref="I359">_xlfn.IFS(H359&lt;=5, "0-5", H359&lt;=10, "6-10", H359&lt;=15, "11-15", H359&lt;=20, "16-20", H359&gt;20, "21+")</f>
        <v>0-5</v>
      </c>
      <c r="K359">
        <v>4.3</v>
      </c>
      <c r="L359" t="s">
        <v>2085</v>
      </c>
      <c r="M359" s="1">
        <v>0.9</v>
      </c>
    </row>
    <row r="360" spans="1:13" x14ac:dyDescent="0.3">
      <c r="A360" t="s">
        <v>793</v>
      </c>
      <c r="B360" t="s">
        <v>794</v>
      </c>
      <c r="C360" t="s">
        <v>73</v>
      </c>
      <c r="D360">
        <v>22</v>
      </c>
      <c r="E360" t="s">
        <v>169</v>
      </c>
      <c r="F360" t="s">
        <v>170</v>
      </c>
      <c r="G360" t="s">
        <v>48</v>
      </c>
      <c r="H360">
        <v>6</v>
      </c>
      <c r="I360" t="str" cm="1">
        <f t="array" ref="I360">_xlfn.IFS(H360&lt;=5, "0-5", H360&lt;=10, "6-10", H360&lt;=15, "11-15", H360&lt;=20, "16-20", H360&gt;20, "21+")</f>
        <v>6-10</v>
      </c>
      <c r="J360">
        <v>50</v>
      </c>
      <c r="K360">
        <v>0</v>
      </c>
      <c r="M360" s="1">
        <v>0.98</v>
      </c>
    </row>
    <row r="361" spans="1:13" x14ac:dyDescent="0.3">
      <c r="A361" t="s">
        <v>795</v>
      </c>
      <c r="B361" t="s">
        <v>796</v>
      </c>
      <c r="C361" t="s">
        <v>93</v>
      </c>
      <c r="D361">
        <v>20</v>
      </c>
      <c r="E361" t="s">
        <v>89</v>
      </c>
      <c r="F361" t="s">
        <v>90</v>
      </c>
      <c r="G361" t="s">
        <v>74</v>
      </c>
      <c r="H361">
        <v>26</v>
      </c>
      <c r="I361" t="str" cm="1">
        <f t="array" ref="I361">_xlfn.IFS(H361&lt;=5, "0-5", H361&lt;=10, "6-10", H361&lt;=15, "11-15", H361&lt;=20, "16-20", H361&gt;20, "21+")</f>
        <v>21+</v>
      </c>
      <c r="J361">
        <v>30</v>
      </c>
      <c r="L361" t="s">
        <v>2086</v>
      </c>
      <c r="M361" s="1">
        <v>0.99</v>
      </c>
    </row>
    <row r="362" spans="1:13" x14ac:dyDescent="0.3">
      <c r="A362" t="s">
        <v>797</v>
      </c>
      <c r="B362" t="s">
        <v>798</v>
      </c>
      <c r="C362" t="s">
        <v>93</v>
      </c>
      <c r="D362">
        <v>56</v>
      </c>
      <c r="E362" t="s">
        <v>40</v>
      </c>
      <c r="F362" t="s">
        <v>41</v>
      </c>
      <c r="G362" t="s">
        <v>48</v>
      </c>
      <c r="I362" t="str" cm="1">
        <f t="array" ref="I362">_xlfn.IFS(H362&lt;=5, "0-5", H362&lt;=10, "6-10", H362&lt;=15, "11-15", H362&lt;=20, "16-20", H362&gt;20, "21+")</f>
        <v>0-5</v>
      </c>
      <c r="J362">
        <v>40</v>
      </c>
      <c r="K362">
        <v>2.6</v>
      </c>
      <c r="L362" t="s">
        <v>2085</v>
      </c>
      <c r="M362" s="1">
        <v>0.61</v>
      </c>
    </row>
    <row r="363" spans="1:13" x14ac:dyDescent="0.3">
      <c r="A363" t="s">
        <v>799</v>
      </c>
      <c r="B363" t="s">
        <v>800</v>
      </c>
      <c r="C363" t="s">
        <v>93</v>
      </c>
      <c r="D363">
        <v>41</v>
      </c>
      <c r="E363" t="s">
        <v>81</v>
      </c>
      <c r="F363" t="s">
        <v>82</v>
      </c>
      <c r="G363" t="s">
        <v>48</v>
      </c>
      <c r="H363">
        <v>9</v>
      </c>
      <c r="I363" t="str" cm="1">
        <f t="array" ref="I363">_xlfn.IFS(H363&lt;=5, "0-5", H363&lt;=10, "6-10", H363&lt;=15, "11-15", H363&lt;=20, "16-20", H363&gt;20, "21+")</f>
        <v>6-10</v>
      </c>
      <c r="J363">
        <v>50</v>
      </c>
      <c r="K363">
        <v>1.6</v>
      </c>
      <c r="L363" t="s">
        <v>2086</v>
      </c>
      <c r="M363" s="1">
        <v>0.61</v>
      </c>
    </row>
    <row r="364" spans="1:13" x14ac:dyDescent="0.3">
      <c r="A364" t="s">
        <v>801</v>
      </c>
      <c r="B364" t="s">
        <v>802</v>
      </c>
      <c r="C364" t="s">
        <v>93</v>
      </c>
      <c r="D364">
        <v>25</v>
      </c>
      <c r="E364" t="s">
        <v>67</v>
      </c>
      <c r="F364" t="s">
        <v>68</v>
      </c>
      <c r="G364" t="s">
        <v>16</v>
      </c>
      <c r="H364">
        <v>11</v>
      </c>
      <c r="I364" t="str" cm="1">
        <f t="array" ref="I364">_xlfn.IFS(H364&lt;=5, "0-5", H364&lt;=10, "6-10", H364&lt;=15, "11-15", H364&lt;=20, "16-20", H364&gt;20, "21+")</f>
        <v>11-15</v>
      </c>
      <c r="J364">
        <v>30</v>
      </c>
      <c r="K364">
        <v>2.2999999999999998</v>
      </c>
      <c r="L364" t="s">
        <v>2085</v>
      </c>
      <c r="M364" s="1">
        <v>0.91</v>
      </c>
    </row>
    <row r="365" spans="1:13" x14ac:dyDescent="0.3">
      <c r="A365" t="s">
        <v>803</v>
      </c>
      <c r="B365" t="s">
        <v>804</v>
      </c>
      <c r="C365" t="s">
        <v>73</v>
      </c>
      <c r="D365">
        <v>44</v>
      </c>
      <c r="E365" t="s">
        <v>123</v>
      </c>
      <c r="F365" t="s">
        <v>21</v>
      </c>
      <c r="G365" t="s">
        <v>74</v>
      </c>
      <c r="I365" t="str" cm="1">
        <f t="array" ref="I365">_xlfn.IFS(H365&lt;=5, "0-5", H365&lt;=10, "6-10", H365&lt;=15, "11-15", H365&lt;=20, "16-20", H365&gt;20, "21+")</f>
        <v>0-5</v>
      </c>
      <c r="J365">
        <v>75</v>
      </c>
      <c r="K365">
        <v>4.5999999999999996</v>
      </c>
      <c r="L365" t="s">
        <v>2086</v>
      </c>
      <c r="M365" s="1">
        <v>0.72</v>
      </c>
    </row>
    <row r="366" spans="1:13" x14ac:dyDescent="0.3">
      <c r="A366" t="s">
        <v>805</v>
      </c>
      <c r="B366" t="s">
        <v>806</v>
      </c>
      <c r="C366" t="s">
        <v>73</v>
      </c>
      <c r="D366">
        <v>46</v>
      </c>
      <c r="E366" t="s">
        <v>20</v>
      </c>
      <c r="F366" t="s">
        <v>21</v>
      </c>
      <c r="G366" t="s">
        <v>34</v>
      </c>
      <c r="H366">
        <v>3</v>
      </c>
      <c r="I366" t="str" cm="1">
        <f t="array" ref="I366">_xlfn.IFS(H366&lt;=5, "0-5", H366&lt;=10, "6-10", H366&lt;=15, "11-15", H366&lt;=20, "16-20", H366&gt;20, "21+")</f>
        <v>0-5</v>
      </c>
      <c r="J366">
        <v>100</v>
      </c>
      <c r="K366">
        <v>2.1</v>
      </c>
    </row>
    <row r="367" spans="1:13" x14ac:dyDescent="0.3">
      <c r="A367" t="s">
        <v>807</v>
      </c>
      <c r="B367" t="s">
        <v>808</v>
      </c>
      <c r="C367" t="s">
        <v>73</v>
      </c>
      <c r="D367">
        <v>40</v>
      </c>
      <c r="E367" t="s">
        <v>108</v>
      </c>
      <c r="F367" t="s">
        <v>109</v>
      </c>
      <c r="G367" t="s">
        <v>16</v>
      </c>
      <c r="H367">
        <v>15</v>
      </c>
      <c r="I367" t="str" cm="1">
        <f t="array" ref="I367">_xlfn.IFS(H367&lt;=5, "0-5", H367&lt;=10, "6-10", H367&lt;=15, "11-15", H367&lt;=20, "16-20", H367&gt;20, "21+")</f>
        <v>11-15</v>
      </c>
      <c r="J367">
        <v>40</v>
      </c>
      <c r="K367">
        <v>1.5</v>
      </c>
      <c r="L367" t="s">
        <v>2085</v>
      </c>
      <c r="M367" s="1">
        <v>0.96</v>
      </c>
    </row>
    <row r="368" spans="1:13" x14ac:dyDescent="0.3">
      <c r="A368" t="s">
        <v>809</v>
      </c>
      <c r="B368" t="s">
        <v>810</v>
      </c>
      <c r="C368" t="s">
        <v>93</v>
      </c>
      <c r="E368" t="s">
        <v>169</v>
      </c>
      <c r="F368" t="s">
        <v>170</v>
      </c>
      <c r="G368" t="s">
        <v>42</v>
      </c>
      <c r="H368">
        <v>12</v>
      </c>
      <c r="I368" t="str" cm="1">
        <f t="array" ref="I368">_xlfn.IFS(H368&lt;=5, "0-5", H368&lt;=10, "6-10", H368&lt;=15, "11-15", H368&lt;=20, "16-20", H368&gt;20, "21+")</f>
        <v>11-15</v>
      </c>
      <c r="J368">
        <v>40</v>
      </c>
      <c r="K368">
        <v>1.7</v>
      </c>
      <c r="L368" t="s">
        <v>2086</v>
      </c>
      <c r="M368" s="1">
        <v>0.72</v>
      </c>
    </row>
    <row r="369" spans="1:13" x14ac:dyDescent="0.3">
      <c r="A369" t="s">
        <v>811</v>
      </c>
      <c r="B369" t="s">
        <v>812</v>
      </c>
      <c r="C369" t="s">
        <v>93</v>
      </c>
      <c r="D369">
        <v>31</v>
      </c>
      <c r="E369" t="s">
        <v>81</v>
      </c>
      <c r="F369" t="s">
        <v>82</v>
      </c>
      <c r="G369" t="s">
        <v>48</v>
      </c>
      <c r="H369">
        <v>19</v>
      </c>
      <c r="I369" t="str" cm="1">
        <f t="array" ref="I369">_xlfn.IFS(H369&lt;=5, "0-5", H369&lt;=10, "6-10", H369&lt;=15, "11-15", H369&lt;=20, "16-20", H369&gt;20, "21+")</f>
        <v>16-20</v>
      </c>
      <c r="K369">
        <v>3.3</v>
      </c>
      <c r="L369" t="s">
        <v>2085</v>
      </c>
    </row>
    <row r="370" spans="1:13" x14ac:dyDescent="0.3">
      <c r="A370" t="s">
        <v>813</v>
      </c>
      <c r="B370" t="s">
        <v>814</v>
      </c>
      <c r="C370" t="s">
        <v>93</v>
      </c>
      <c r="D370">
        <v>33</v>
      </c>
      <c r="E370" t="s">
        <v>108</v>
      </c>
      <c r="F370" t="s">
        <v>109</v>
      </c>
      <c r="G370" t="s">
        <v>110</v>
      </c>
      <c r="H370">
        <v>13</v>
      </c>
      <c r="I370" t="str" cm="1">
        <f t="array" ref="I370">_xlfn.IFS(H370&lt;=5, "0-5", H370&lt;=10, "6-10", H370&lt;=15, "11-15", H370&lt;=20, "16-20", H370&gt;20, "21+")</f>
        <v>11-15</v>
      </c>
      <c r="J370">
        <v>40</v>
      </c>
      <c r="K370">
        <v>4.3</v>
      </c>
      <c r="L370" t="s">
        <v>2086</v>
      </c>
      <c r="M370" s="1">
        <v>0.63</v>
      </c>
    </row>
    <row r="371" spans="1:13" x14ac:dyDescent="0.3">
      <c r="A371" t="s">
        <v>815</v>
      </c>
      <c r="B371" t="s">
        <v>816</v>
      </c>
      <c r="C371" t="s">
        <v>73</v>
      </c>
      <c r="D371">
        <v>31</v>
      </c>
      <c r="E371" t="s">
        <v>103</v>
      </c>
      <c r="F371" t="s">
        <v>104</v>
      </c>
      <c r="G371" t="s">
        <v>110</v>
      </c>
      <c r="I371" t="str" cm="1">
        <f t="array" ref="I371">_xlfn.IFS(H371&lt;=5, "0-5", H371&lt;=10, "6-10", H371&lt;=15, "11-15", H371&lt;=20, "16-20", H371&gt;20, "21+")</f>
        <v>0-5</v>
      </c>
      <c r="J371">
        <v>20</v>
      </c>
      <c r="L371" t="s">
        <v>2085</v>
      </c>
    </row>
    <row r="372" spans="1:13" x14ac:dyDescent="0.3">
      <c r="A372" t="s">
        <v>817</v>
      </c>
      <c r="B372" t="s">
        <v>818</v>
      </c>
      <c r="C372" t="s">
        <v>73</v>
      </c>
      <c r="D372">
        <v>49</v>
      </c>
      <c r="E372" t="s">
        <v>14</v>
      </c>
      <c r="F372" t="s">
        <v>15</v>
      </c>
      <c r="G372" t="s">
        <v>48</v>
      </c>
      <c r="H372">
        <v>3</v>
      </c>
      <c r="I372" t="str" cm="1">
        <f t="array" ref="I372">_xlfn.IFS(H372&lt;=5, "0-5", H372&lt;=10, "6-10", H372&lt;=15, "11-15", H372&lt;=20, "16-20", H372&gt;20, "21+")</f>
        <v>0-5</v>
      </c>
      <c r="J372">
        <v>75</v>
      </c>
      <c r="K372">
        <v>2.6</v>
      </c>
      <c r="L372" t="s">
        <v>2085</v>
      </c>
      <c r="M372" s="1">
        <v>0.83</v>
      </c>
    </row>
    <row r="373" spans="1:13" x14ac:dyDescent="0.3">
      <c r="A373" t="s">
        <v>819</v>
      </c>
      <c r="B373" t="s">
        <v>820</v>
      </c>
      <c r="C373" t="s">
        <v>93</v>
      </c>
      <c r="D373">
        <v>35</v>
      </c>
      <c r="E373" t="s">
        <v>173</v>
      </c>
      <c r="F373" t="s">
        <v>68</v>
      </c>
      <c r="G373" t="s">
        <v>29</v>
      </c>
      <c r="H373">
        <v>26</v>
      </c>
      <c r="I373" t="str" cm="1">
        <f t="array" ref="I373">_xlfn.IFS(H373&lt;=5, "0-5", H373&lt;=10, "6-10", H373&lt;=15, "11-15", H373&lt;=20, "16-20", H373&gt;20, "21+")</f>
        <v>21+</v>
      </c>
      <c r="J373">
        <v>20</v>
      </c>
      <c r="K373">
        <v>4.0999999999999996</v>
      </c>
      <c r="M373" s="1">
        <v>0.94</v>
      </c>
    </row>
    <row r="374" spans="1:13" x14ac:dyDescent="0.3">
      <c r="A374" t="s">
        <v>821</v>
      </c>
      <c r="B374" t="s">
        <v>822</v>
      </c>
      <c r="C374" t="s">
        <v>93</v>
      </c>
      <c r="D374">
        <v>45</v>
      </c>
      <c r="E374" t="s">
        <v>89</v>
      </c>
      <c r="F374" t="s">
        <v>90</v>
      </c>
      <c r="G374" t="s">
        <v>48</v>
      </c>
      <c r="H374">
        <v>4</v>
      </c>
      <c r="I374" t="str" cm="1">
        <f t="array" ref="I374">_xlfn.IFS(H374&lt;=5, "0-5", H374&lt;=10, "6-10", H374&lt;=15, "11-15", H374&lt;=20, "16-20", H374&gt;20, "21+")</f>
        <v>0-5</v>
      </c>
      <c r="J374">
        <v>40</v>
      </c>
      <c r="K374">
        <v>2.2000000000000002</v>
      </c>
      <c r="L374" t="s">
        <v>2086</v>
      </c>
      <c r="M374" s="1">
        <v>0.78</v>
      </c>
    </row>
    <row r="375" spans="1:13" x14ac:dyDescent="0.3">
      <c r="A375" t="s">
        <v>823</v>
      </c>
      <c r="B375" t="s">
        <v>824</v>
      </c>
      <c r="C375" t="s">
        <v>73</v>
      </c>
      <c r="D375">
        <v>39</v>
      </c>
      <c r="E375" t="s">
        <v>40</v>
      </c>
      <c r="F375" t="s">
        <v>41</v>
      </c>
      <c r="G375" t="s">
        <v>48</v>
      </c>
      <c r="H375">
        <v>8</v>
      </c>
      <c r="I375" t="str" cm="1">
        <f t="array" ref="I375">_xlfn.IFS(H375&lt;=5, "0-5", H375&lt;=10, "6-10", H375&lt;=15, "11-15", H375&lt;=20, "16-20", H375&gt;20, "21+")</f>
        <v>6-10</v>
      </c>
      <c r="J375">
        <v>30</v>
      </c>
      <c r="K375">
        <v>1.1000000000000001</v>
      </c>
      <c r="L375" t="s">
        <v>2086</v>
      </c>
    </row>
    <row r="376" spans="1:13" x14ac:dyDescent="0.3">
      <c r="A376" t="s">
        <v>825</v>
      </c>
      <c r="B376" t="s">
        <v>826</v>
      </c>
      <c r="C376" t="s">
        <v>93</v>
      </c>
      <c r="E376" t="s">
        <v>67</v>
      </c>
      <c r="F376" t="s">
        <v>68</v>
      </c>
      <c r="G376" t="s">
        <v>16</v>
      </c>
      <c r="H376">
        <v>10</v>
      </c>
      <c r="I376" t="str" cm="1">
        <f t="array" ref="I376">_xlfn.IFS(H376&lt;=5, "0-5", H376&lt;=10, "6-10", H376&lt;=15, "11-15", H376&lt;=20, "16-20", H376&gt;20, "21+")</f>
        <v>6-10</v>
      </c>
      <c r="J376">
        <v>50</v>
      </c>
      <c r="K376">
        <v>2.1</v>
      </c>
      <c r="L376" t="s">
        <v>2086</v>
      </c>
      <c r="M376" s="1">
        <v>0.82</v>
      </c>
    </row>
    <row r="377" spans="1:13" x14ac:dyDescent="0.3">
      <c r="A377" t="s">
        <v>827</v>
      </c>
      <c r="B377" t="s">
        <v>828</v>
      </c>
      <c r="C377" t="s">
        <v>93</v>
      </c>
      <c r="D377">
        <v>24</v>
      </c>
      <c r="E377" t="s">
        <v>27</v>
      </c>
      <c r="F377" t="s">
        <v>28</v>
      </c>
      <c r="G377" t="s">
        <v>74</v>
      </c>
      <c r="H377">
        <v>5</v>
      </c>
      <c r="I377" t="str" cm="1">
        <f t="array" ref="I377">_xlfn.IFS(H377&lt;=5, "0-5", H377&lt;=10, "6-10", H377&lt;=15, "11-15", H377&lt;=20, "16-20", H377&gt;20, "21+")</f>
        <v>0-5</v>
      </c>
      <c r="J377">
        <v>30</v>
      </c>
      <c r="K377">
        <v>2.2999999999999998</v>
      </c>
      <c r="L377" t="s">
        <v>2085</v>
      </c>
      <c r="M377" s="1">
        <v>0.66</v>
      </c>
    </row>
    <row r="378" spans="1:13" x14ac:dyDescent="0.3">
      <c r="A378" t="s">
        <v>829</v>
      </c>
      <c r="B378" t="s">
        <v>830</v>
      </c>
      <c r="C378" t="s">
        <v>93</v>
      </c>
      <c r="D378">
        <v>50</v>
      </c>
      <c r="E378" t="s">
        <v>20</v>
      </c>
      <c r="F378" t="s">
        <v>21</v>
      </c>
      <c r="G378" t="s">
        <v>29</v>
      </c>
      <c r="H378">
        <v>18</v>
      </c>
      <c r="I378" t="str" cm="1">
        <f t="array" ref="I378">_xlfn.IFS(H378&lt;=5, "0-5", H378&lt;=10, "6-10", H378&lt;=15, "11-15", H378&lt;=20, "16-20", H378&gt;20, "21+")</f>
        <v>16-20</v>
      </c>
      <c r="K378">
        <v>3.6</v>
      </c>
      <c r="L378" t="s">
        <v>2086</v>
      </c>
      <c r="M378" s="1">
        <v>0.82</v>
      </c>
    </row>
    <row r="379" spans="1:13" x14ac:dyDescent="0.3">
      <c r="A379" t="s">
        <v>831</v>
      </c>
      <c r="B379" t="s">
        <v>832</v>
      </c>
      <c r="C379" t="s">
        <v>73</v>
      </c>
      <c r="D379">
        <v>23</v>
      </c>
      <c r="E379" t="s">
        <v>27</v>
      </c>
      <c r="F379" t="s">
        <v>28</v>
      </c>
      <c r="G379" t="s">
        <v>110</v>
      </c>
      <c r="H379">
        <v>10</v>
      </c>
      <c r="I379" t="str" cm="1">
        <f t="array" ref="I379">_xlfn.IFS(H379&lt;=5, "0-5", H379&lt;=10, "6-10", H379&lt;=15, "11-15", H379&lt;=20, "16-20", H379&gt;20, "21+")</f>
        <v>6-10</v>
      </c>
      <c r="J379">
        <v>20</v>
      </c>
      <c r="K379">
        <v>4.7</v>
      </c>
      <c r="L379" t="s">
        <v>2086</v>
      </c>
      <c r="M379" s="1">
        <v>0.84</v>
      </c>
    </row>
    <row r="380" spans="1:13" x14ac:dyDescent="0.3">
      <c r="A380" t="s">
        <v>833</v>
      </c>
      <c r="B380" t="s">
        <v>834</v>
      </c>
      <c r="C380" t="s">
        <v>93</v>
      </c>
      <c r="D380">
        <v>27</v>
      </c>
      <c r="E380" t="s">
        <v>123</v>
      </c>
      <c r="F380" t="s">
        <v>21</v>
      </c>
      <c r="G380" t="s">
        <v>74</v>
      </c>
      <c r="H380">
        <v>0</v>
      </c>
      <c r="I380" t="str" cm="1">
        <f t="array" ref="I380">_xlfn.IFS(H380&lt;=5, "0-5", H380&lt;=10, "6-10", H380&lt;=15, "11-15", H380&lt;=20, "16-20", H380&gt;20, "21+")</f>
        <v>0-5</v>
      </c>
      <c r="J380">
        <v>20</v>
      </c>
      <c r="K380">
        <v>4.8</v>
      </c>
      <c r="L380" t="s">
        <v>2085</v>
      </c>
      <c r="M380" s="1">
        <v>0.81</v>
      </c>
    </row>
    <row r="381" spans="1:13" x14ac:dyDescent="0.3">
      <c r="A381" t="s">
        <v>835</v>
      </c>
      <c r="B381" t="s">
        <v>836</v>
      </c>
      <c r="C381" t="s">
        <v>93</v>
      </c>
      <c r="D381">
        <v>58</v>
      </c>
      <c r="E381" t="s">
        <v>148</v>
      </c>
      <c r="F381" t="s">
        <v>149</v>
      </c>
      <c r="G381" t="s">
        <v>42</v>
      </c>
      <c r="H381">
        <v>21</v>
      </c>
      <c r="I381" t="str" cm="1">
        <f t="array" ref="I381">_xlfn.IFS(H381&lt;=5, "0-5", H381&lt;=10, "6-10", H381&lt;=15, "11-15", H381&lt;=20, "16-20", H381&gt;20, "21+")</f>
        <v>21+</v>
      </c>
      <c r="J381">
        <v>75</v>
      </c>
      <c r="K381">
        <v>4.2</v>
      </c>
      <c r="L381" t="s">
        <v>2085</v>
      </c>
      <c r="M381" s="1">
        <v>0.71</v>
      </c>
    </row>
    <row r="382" spans="1:13" x14ac:dyDescent="0.3">
      <c r="A382" t="s">
        <v>837</v>
      </c>
      <c r="B382" t="s">
        <v>838</v>
      </c>
      <c r="C382" t="s">
        <v>93</v>
      </c>
      <c r="D382">
        <v>37</v>
      </c>
      <c r="E382" t="s">
        <v>14</v>
      </c>
      <c r="F382" t="s">
        <v>15</v>
      </c>
      <c r="G382" t="s">
        <v>110</v>
      </c>
      <c r="H382">
        <v>25</v>
      </c>
      <c r="I382" t="str" cm="1">
        <f t="array" ref="I382">_xlfn.IFS(H382&lt;=5, "0-5", H382&lt;=10, "6-10", H382&lt;=15, "11-15", H382&lt;=20, "16-20", H382&gt;20, "21+")</f>
        <v>21+</v>
      </c>
      <c r="K382">
        <v>4.8</v>
      </c>
      <c r="L382" t="s">
        <v>2086</v>
      </c>
      <c r="M382" s="1">
        <v>0.61</v>
      </c>
    </row>
    <row r="383" spans="1:13" x14ac:dyDescent="0.3">
      <c r="A383" t="s">
        <v>839</v>
      </c>
      <c r="B383" t="s">
        <v>840</v>
      </c>
      <c r="C383" t="s">
        <v>93</v>
      </c>
      <c r="D383">
        <v>39</v>
      </c>
      <c r="E383" t="s">
        <v>184</v>
      </c>
      <c r="F383" t="s">
        <v>68</v>
      </c>
      <c r="G383" t="s">
        <v>16</v>
      </c>
      <c r="H383">
        <v>0</v>
      </c>
      <c r="I383" t="str" cm="1">
        <f t="array" ref="I383">_xlfn.IFS(H383&lt;=5, "0-5", H383&lt;=10, "6-10", H383&lt;=15, "11-15", H383&lt;=20, "16-20", H383&gt;20, "21+")</f>
        <v>0-5</v>
      </c>
      <c r="J383">
        <v>75</v>
      </c>
      <c r="K383">
        <v>4</v>
      </c>
      <c r="L383" t="s">
        <v>2086</v>
      </c>
      <c r="M383" s="1">
        <v>0.66</v>
      </c>
    </row>
    <row r="384" spans="1:13" x14ac:dyDescent="0.3">
      <c r="A384" t="s">
        <v>841</v>
      </c>
      <c r="B384" t="s">
        <v>842</v>
      </c>
      <c r="C384" t="s">
        <v>73</v>
      </c>
      <c r="D384">
        <v>46</v>
      </c>
      <c r="E384" t="s">
        <v>134</v>
      </c>
      <c r="F384" t="s">
        <v>135</v>
      </c>
      <c r="G384" t="s">
        <v>48</v>
      </c>
      <c r="H384">
        <v>5</v>
      </c>
      <c r="I384" t="str" cm="1">
        <f t="array" ref="I384">_xlfn.IFS(H384&lt;=5, "0-5", H384&lt;=10, "6-10", H384&lt;=15, "11-15", H384&lt;=20, "16-20", H384&gt;20, "21+")</f>
        <v>0-5</v>
      </c>
      <c r="J384">
        <v>20</v>
      </c>
      <c r="K384">
        <v>2.5</v>
      </c>
      <c r="L384" t="s">
        <v>2086</v>
      </c>
      <c r="M384" s="1">
        <v>0.97</v>
      </c>
    </row>
    <row r="385" spans="1:13" x14ac:dyDescent="0.3">
      <c r="A385" t="s">
        <v>843</v>
      </c>
      <c r="B385" t="s">
        <v>844</v>
      </c>
      <c r="C385" t="s">
        <v>73</v>
      </c>
      <c r="E385" t="s">
        <v>63</v>
      </c>
      <c r="F385" t="s">
        <v>21</v>
      </c>
      <c r="G385" t="s">
        <v>69</v>
      </c>
      <c r="H385">
        <v>1</v>
      </c>
      <c r="I385" t="str" cm="1">
        <f t="array" ref="I385">_xlfn.IFS(H385&lt;=5, "0-5", H385&lt;=10, "6-10", H385&lt;=15, "11-15", H385&lt;=20, "16-20", H385&gt;20, "21+")</f>
        <v>0-5</v>
      </c>
      <c r="J385">
        <v>20</v>
      </c>
      <c r="K385">
        <v>4.8</v>
      </c>
      <c r="L385" t="s">
        <v>2085</v>
      </c>
      <c r="M385" s="1">
        <v>0.74</v>
      </c>
    </row>
    <row r="386" spans="1:13" x14ac:dyDescent="0.3">
      <c r="A386" t="s">
        <v>845</v>
      </c>
      <c r="B386" t="s">
        <v>846</v>
      </c>
      <c r="C386" t="s">
        <v>73</v>
      </c>
      <c r="D386">
        <v>39</v>
      </c>
      <c r="E386" t="s">
        <v>173</v>
      </c>
      <c r="F386" t="s">
        <v>68</v>
      </c>
      <c r="G386" t="s">
        <v>16</v>
      </c>
      <c r="H386">
        <v>4</v>
      </c>
      <c r="I386" t="str" cm="1">
        <f t="array" ref="I386">_xlfn.IFS(H386&lt;=5, "0-5", H386&lt;=10, "6-10", H386&lt;=15, "11-15", H386&lt;=20, "16-20", H386&gt;20, "21+")</f>
        <v>0-5</v>
      </c>
      <c r="J386">
        <v>30</v>
      </c>
      <c r="K386">
        <v>4.7</v>
      </c>
      <c r="L386" t="s">
        <v>2085</v>
      </c>
      <c r="M386" s="1">
        <v>0.61</v>
      </c>
    </row>
    <row r="387" spans="1:13" x14ac:dyDescent="0.3">
      <c r="A387" t="s">
        <v>847</v>
      </c>
      <c r="B387" t="s">
        <v>848</v>
      </c>
      <c r="C387" t="s">
        <v>93</v>
      </c>
      <c r="D387">
        <v>59</v>
      </c>
      <c r="E387" t="s">
        <v>134</v>
      </c>
      <c r="F387" t="s">
        <v>135</v>
      </c>
      <c r="G387" t="s">
        <v>16</v>
      </c>
      <c r="H387">
        <v>21</v>
      </c>
      <c r="I387" t="str" cm="1">
        <f t="array" ref="I387">_xlfn.IFS(H387&lt;=5, "0-5", H387&lt;=10, "6-10", H387&lt;=15, "11-15", H387&lt;=20, "16-20", H387&gt;20, "21+")</f>
        <v>21+</v>
      </c>
      <c r="J387">
        <v>20</v>
      </c>
      <c r="K387">
        <v>4</v>
      </c>
      <c r="L387" t="s">
        <v>2085</v>
      </c>
      <c r="M387" s="1">
        <v>0.9</v>
      </c>
    </row>
    <row r="388" spans="1:13" x14ac:dyDescent="0.3">
      <c r="A388" t="s">
        <v>849</v>
      </c>
      <c r="B388" t="s">
        <v>850</v>
      </c>
      <c r="C388" t="s">
        <v>93</v>
      </c>
      <c r="D388">
        <v>21</v>
      </c>
      <c r="E388" t="s">
        <v>40</v>
      </c>
      <c r="F388" t="s">
        <v>41</v>
      </c>
      <c r="G388" t="s">
        <v>85</v>
      </c>
      <c r="H388">
        <v>1</v>
      </c>
      <c r="I388" t="str" cm="1">
        <f t="array" ref="I388">_xlfn.IFS(H388&lt;=5, "0-5", H388&lt;=10, "6-10", H388&lt;=15, "11-15", H388&lt;=20, "16-20", H388&gt;20, "21+")</f>
        <v>0-5</v>
      </c>
      <c r="J388">
        <v>40</v>
      </c>
      <c r="K388">
        <v>4.0999999999999996</v>
      </c>
      <c r="L388" t="s">
        <v>2086</v>
      </c>
      <c r="M388" s="1">
        <v>0.97</v>
      </c>
    </row>
    <row r="389" spans="1:13" x14ac:dyDescent="0.3">
      <c r="A389" t="s">
        <v>851</v>
      </c>
      <c r="B389" t="s">
        <v>852</v>
      </c>
      <c r="C389" t="s">
        <v>73</v>
      </c>
      <c r="D389">
        <v>23</v>
      </c>
      <c r="E389" t="s">
        <v>123</v>
      </c>
      <c r="F389" t="s">
        <v>21</v>
      </c>
      <c r="G389" t="s">
        <v>85</v>
      </c>
      <c r="I389" t="str" cm="1">
        <f t="array" ref="I389">_xlfn.IFS(H389&lt;=5, "0-5", H389&lt;=10, "6-10", H389&lt;=15, "11-15", H389&lt;=20, "16-20", H389&gt;20, "21+")</f>
        <v>0-5</v>
      </c>
      <c r="J389">
        <v>100</v>
      </c>
      <c r="K389">
        <v>3.2</v>
      </c>
      <c r="L389" t="s">
        <v>2086</v>
      </c>
    </row>
    <row r="390" spans="1:13" x14ac:dyDescent="0.3">
      <c r="A390" t="s">
        <v>853</v>
      </c>
      <c r="B390" t="s">
        <v>854</v>
      </c>
      <c r="C390" t="s">
        <v>93</v>
      </c>
      <c r="D390">
        <v>27</v>
      </c>
      <c r="E390" t="s">
        <v>134</v>
      </c>
      <c r="F390" t="s">
        <v>135</v>
      </c>
      <c r="G390" t="s">
        <v>34</v>
      </c>
      <c r="H390">
        <v>10</v>
      </c>
      <c r="I390" t="str" cm="1">
        <f t="array" ref="I390">_xlfn.IFS(H390&lt;=5, "0-5", H390&lt;=10, "6-10", H390&lt;=15, "11-15", H390&lt;=20, "16-20", H390&gt;20, "21+")</f>
        <v>6-10</v>
      </c>
      <c r="J390">
        <v>20</v>
      </c>
      <c r="K390">
        <v>4.3</v>
      </c>
      <c r="L390" t="s">
        <v>2085</v>
      </c>
      <c r="M390" s="1">
        <v>0.76</v>
      </c>
    </row>
    <row r="391" spans="1:13" x14ac:dyDescent="0.3">
      <c r="A391" t="s">
        <v>855</v>
      </c>
      <c r="B391" t="s">
        <v>856</v>
      </c>
      <c r="C391" t="s">
        <v>93</v>
      </c>
      <c r="D391">
        <v>27</v>
      </c>
      <c r="E391" t="s">
        <v>169</v>
      </c>
      <c r="F391" t="s">
        <v>170</v>
      </c>
      <c r="G391" t="s">
        <v>74</v>
      </c>
      <c r="H391">
        <v>21</v>
      </c>
      <c r="I391" t="str" cm="1">
        <f t="array" ref="I391">_xlfn.IFS(H391&lt;=5, "0-5", H391&lt;=10, "6-10", H391&lt;=15, "11-15", H391&lt;=20, "16-20", H391&gt;20, "21+")</f>
        <v>21+</v>
      </c>
      <c r="J391">
        <v>40</v>
      </c>
      <c r="K391">
        <v>4.4000000000000004</v>
      </c>
      <c r="L391" t="s">
        <v>2085</v>
      </c>
      <c r="M391" s="1">
        <v>0.92</v>
      </c>
    </row>
    <row r="392" spans="1:13" x14ac:dyDescent="0.3">
      <c r="A392" t="s">
        <v>857</v>
      </c>
      <c r="B392" t="s">
        <v>858</v>
      </c>
      <c r="C392" t="s">
        <v>73</v>
      </c>
      <c r="D392">
        <v>48</v>
      </c>
      <c r="E392" t="s">
        <v>148</v>
      </c>
      <c r="F392" t="s">
        <v>149</v>
      </c>
      <c r="G392" t="s">
        <v>48</v>
      </c>
      <c r="H392">
        <v>0</v>
      </c>
      <c r="I392" t="str" cm="1">
        <f t="array" ref="I392">_xlfn.IFS(H392&lt;=5, "0-5", H392&lt;=10, "6-10", H392&lt;=15, "11-15", H392&lt;=20, "16-20", H392&gt;20, "21+")</f>
        <v>0-5</v>
      </c>
      <c r="J392">
        <v>40</v>
      </c>
      <c r="K392">
        <v>2.2999999999999998</v>
      </c>
      <c r="L392" t="s">
        <v>2085</v>
      </c>
    </row>
    <row r="393" spans="1:13" x14ac:dyDescent="0.3">
      <c r="A393" t="s">
        <v>859</v>
      </c>
      <c r="B393" t="s">
        <v>860</v>
      </c>
      <c r="C393" t="s">
        <v>93</v>
      </c>
      <c r="D393">
        <v>21</v>
      </c>
      <c r="E393" t="s">
        <v>148</v>
      </c>
      <c r="F393" t="s">
        <v>149</v>
      </c>
      <c r="G393" t="s">
        <v>42</v>
      </c>
      <c r="H393">
        <v>0</v>
      </c>
      <c r="I393" t="str" cm="1">
        <f t="array" ref="I393">_xlfn.IFS(H393&lt;=5, "0-5", H393&lt;=10, "6-10", H393&lt;=15, "11-15", H393&lt;=20, "16-20", H393&gt;20, "21+")</f>
        <v>0-5</v>
      </c>
      <c r="J393">
        <v>20</v>
      </c>
      <c r="K393">
        <v>2.4</v>
      </c>
      <c r="L393" t="s">
        <v>2086</v>
      </c>
      <c r="M393" s="1">
        <v>0.66</v>
      </c>
    </row>
    <row r="394" spans="1:13" x14ac:dyDescent="0.3">
      <c r="A394" t="s">
        <v>861</v>
      </c>
      <c r="B394" t="s">
        <v>862</v>
      </c>
      <c r="C394" t="s">
        <v>93</v>
      </c>
      <c r="D394">
        <v>37</v>
      </c>
      <c r="E394" t="s">
        <v>14</v>
      </c>
      <c r="F394" t="s">
        <v>15</v>
      </c>
      <c r="G394" t="s">
        <v>85</v>
      </c>
      <c r="H394">
        <v>5</v>
      </c>
      <c r="I394" t="str" cm="1">
        <f t="array" ref="I394">_xlfn.IFS(H394&lt;=5, "0-5", H394&lt;=10, "6-10", H394&lt;=15, "11-15", H394&lt;=20, "16-20", H394&gt;20, "21+")</f>
        <v>0-5</v>
      </c>
      <c r="J394">
        <v>50</v>
      </c>
      <c r="K394">
        <v>4.5999999999999996</v>
      </c>
      <c r="L394" t="s">
        <v>2085</v>
      </c>
      <c r="M394" s="1">
        <v>0.83</v>
      </c>
    </row>
    <row r="395" spans="1:13" x14ac:dyDescent="0.3">
      <c r="A395" t="s">
        <v>863</v>
      </c>
      <c r="B395" t="s">
        <v>864</v>
      </c>
      <c r="C395" t="s">
        <v>73</v>
      </c>
      <c r="D395">
        <v>31</v>
      </c>
      <c r="E395" t="s">
        <v>27</v>
      </c>
      <c r="F395" t="s">
        <v>28</v>
      </c>
      <c r="G395" t="s">
        <v>69</v>
      </c>
      <c r="H395">
        <v>1</v>
      </c>
      <c r="I395" t="str" cm="1">
        <f t="array" ref="I395">_xlfn.IFS(H395&lt;=5, "0-5", H395&lt;=10, "6-10", H395&lt;=15, "11-15", H395&lt;=20, "16-20", H395&gt;20, "21+")</f>
        <v>0-5</v>
      </c>
      <c r="J395">
        <v>50</v>
      </c>
      <c r="K395">
        <v>0</v>
      </c>
      <c r="L395" t="s">
        <v>2085</v>
      </c>
    </row>
    <row r="396" spans="1:13" x14ac:dyDescent="0.3">
      <c r="A396" t="s">
        <v>865</v>
      </c>
      <c r="B396" t="s">
        <v>866</v>
      </c>
      <c r="C396" t="s">
        <v>73</v>
      </c>
      <c r="D396">
        <v>41</v>
      </c>
      <c r="E396" t="s">
        <v>134</v>
      </c>
      <c r="F396" t="s">
        <v>135</v>
      </c>
      <c r="G396" t="s">
        <v>16</v>
      </c>
      <c r="H396">
        <v>2</v>
      </c>
      <c r="I396" t="str" cm="1">
        <f t="array" ref="I396">_xlfn.IFS(H396&lt;=5, "0-5", H396&lt;=10, "6-10", H396&lt;=15, "11-15", H396&lt;=20, "16-20", H396&gt;20, "21+")</f>
        <v>0-5</v>
      </c>
      <c r="K396">
        <v>0</v>
      </c>
      <c r="L396" t="s">
        <v>2086</v>
      </c>
    </row>
    <row r="397" spans="1:13" x14ac:dyDescent="0.3">
      <c r="A397" t="s">
        <v>867</v>
      </c>
      <c r="B397" t="s">
        <v>2094</v>
      </c>
      <c r="C397" t="s">
        <v>93</v>
      </c>
      <c r="D397">
        <v>31</v>
      </c>
      <c r="E397" t="s">
        <v>119</v>
      </c>
      <c r="F397" t="s">
        <v>120</v>
      </c>
      <c r="G397" t="s">
        <v>74</v>
      </c>
      <c r="H397">
        <v>32</v>
      </c>
      <c r="I397" t="str" cm="1">
        <f t="array" ref="I397">_xlfn.IFS(H397&lt;=5, "0-5", H397&lt;=10, "6-10", H397&lt;=15, "11-15", H397&lt;=20, "16-20", H397&gt;20, "21+")</f>
        <v>21+</v>
      </c>
      <c r="J397">
        <v>20</v>
      </c>
      <c r="K397">
        <v>4.2</v>
      </c>
      <c r="L397" t="s">
        <v>2086</v>
      </c>
      <c r="M397" s="1">
        <v>0.82</v>
      </c>
    </row>
    <row r="398" spans="1:13" x14ac:dyDescent="0.3">
      <c r="A398" t="s">
        <v>869</v>
      </c>
      <c r="B398" t="s">
        <v>870</v>
      </c>
      <c r="C398" t="s">
        <v>73</v>
      </c>
      <c r="D398">
        <v>58</v>
      </c>
      <c r="E398" t="s">
        <v>67</v>
      </c>
      <c r="F398" t="s">
        <v>68</v>
      </c>
      <c r="G398" t="s">
        <v>48</v>
      </c>
      <c r="H398">
        <v>14</v>
      </c>
      <c r="I398" t="str" cm="1">
        <f t="array" ref="I398">_xlfn.IFS(H398&lt;=5, "0-5", H398&lt;=10, "6-10", H398&lt;=15, "11-15", H398&lt;=20, "16-20", H398&gt;20, "21+")</f>
        <v>11-15</v>
      </c>
      <c r="J398">
        <v>50</v>
      </c>
      <c r="K398">
        <v>2.2999999999999998</v>
      </c>
      <c r="L398" t="s">
        <v>2085</v>
      </c>
      <c r="M398" s="1">
        <v>0.77</v>
      </c>
    </row>
    <row r="399" spans="1:13" x14ac:dyDescent="0.3">
      <c r="A399" t="s">
        <v>871</v>
      </c>
      <c r="B399" t="s">
        <v>2095</v>
      </c>
      <c r="C399" t="s">
        <v>73</v>
      </c>
      <c r="D399">
        <v>45</v>
      </c>
      <c r="E399" t="s">
        <v>40</v>
      </c>
      <c r="F399" t="s">
        <v>41</v>
      </c>
      <c r="G399" t="s">
        <v>48</v>
      </c>
      <c r="H399">
        <v>10</v>
      </c>
      <c r="I399" t="str" cm="1">
        <f t="array" ref="I399">_xlfn.IFS(H399&lt;=5, "0-5", H399&lt;=10, "6-10", H399&lt;=15, "11-15", H399&lt;=20, "16-20", H399&gt;20, "21+")</f>
        <v>6-10</v>
      </c>
      <c r="J399">
        <v>50</v>
      </c>
      <c r="K399">
        <v>4.7</v>
      </c>
      <c r="L399" t="s">
        <v>2086</v>
      </c>
      <c r="M399" s="1">
        <v>0.73</v>
      </c>
    </row>
    <row r="400" spans="1:13" x14ac:dyDescent="0.3">
      <c r="A400" t="s">
        <v>873</v>
      </c>
      <c r="B400" t="s">
        <v>874</v>
      </c>
      <c r="C400" t="s">
        <v>93</v>
      </c>
      <c r="D400">
        <v>51</v>
      </c>
      <c r="E400" t="s">
        <v>108</v>
      </c>
      <c r="F400" t="s">
        <v>109</v>
      </c>
      <c r="G400" t="s">
        <v>74</v>
      </c>
      <c r="H400">
        <v>27</v>
      </c>
      <c r="I400" t="str" cm="1">
        <f t="array" ref="I400">_xlfn.IFS(H400&lt;=5, "0-5", H400&lt;=10, "6-10", H400&lt;=15, "11-15", H400&lt;=20, "16-20", H400&gt;20, "21+")</f>
        <v>21+</v>
      </c>
      <c r="K400">
        <v>3</v>
      </c>
      <c r="L400" t="s">
        <v>2086</v>
      </c>
      <c r="M400" s="1">
        <v>0.88</v>
      </c>
    </row>
    <row r="401" spans="1:13" x14ac:dyDescent="0.3">
      <c r="A401" t="s">
        <v>875</v>
      </c>
      <c r="B401" t="s">
        <v>2096</v>
      </c>
      <c r="C401" t="s">
        <v>93</v>
      </c>
      <c r="D401">
        <v>54</v>
      </c>
      <c r="E401" t="s">
        <v>55</v>
      </c>
      <c r="F401" t="s">
        <v>21</v>
      </c>
      <c r="G401" t="s">
        <v>69</v>
      </c>
      <c r="H401">
        <v>2</v>
      </c>
      <c r="I401" t="str" cm="1">
        <f t="array" ref="I401">_xlfn.IFS(H401&lt;=5, "0-5", H401&lt;=10, "6-10", H401&lt;=15, "11-15", H401&lt;=20, "16-20", H401&gt;20, "21+")</f>
        <v>0-5</v>
      </c>
      <c r="J401">
        <v>30</v>
      </c>
      <c r="K401">
        <v>2.4</v>
      </c>
      <c r="L401" t="s">
        <v>2085</v>
      </c>
      <c r="M401" s="1">
        <v>0.81</v>
      </c>
    </row>
    <row r="402" spans="1:13" x14ac:dyDescent="0.3">
      <c r="A402" t="s">
        <v>877</v>
      </c>
      <c r="B402" t="s">
        <v>878</v>
      </c>
      <c r="C402" t="s">
        <v>93</v>
      </c>
      <c r="D402">
        <v>22</v>
      </c>
      <c r="E402" t="s">
        <v>119</v>
      </c>
      <c r="F402" t="s">
        <v>120</v>
      </c>
      <c r="G402" t="s">
        <v>48</v>
      </c>
      <c r="H402">
        <v>33</v>
      </c>
      <c r="I402" t="str" cm="1">
        <f t="array" ref="I402">_xlfn.IFS(H402&lt;=5, "0-5", H402&lt;=10, "6-10", H402&lt;=15, "11-15", H402&lt;=20, "16-20", H402&gt;20, "21+")</f>
        <v>21+</v>
      </c>
      <c r="J402">
        <v>20</v>
      </c>
      <c r="K402">
        <v>1.7</v>
      </c>
      <c r="L402" t="s">
        <v>2085</v>
      </c>
      <c r="M402" s="1">
        <v>0.78</v>
      </c>
    </row>
    <row r="403" spans="1:13" x14ac:dyDescent="0.3">
      <c r="A403" t="s">
        <v>879</v>
      </c>
      <c r="B403" t="s">
        <v>880</v>
      </c>
      <c r="C403" t="s">
        <v>93</v>
      </c>
      <c r="D403">
        <v>36</v>
      </c>
      <c r="E403" t="s">
        <v>59</v>
      </c>
      <c r="F403" t="s">
        <v>60</v>
      </c>
      <c r="G403" t="s">
        <v>74</v>
      </c>
      <c r="H403">
        <v>11</v>
      </c>
      <c r="I403" t="str" cm="1">
        <f t="array" ref="I403">_xlfn.IFS(H403&lt;=5, "0-5", H403&lt;=10, "6-10", H403&lt;=15, "11-15", H403&lt;=20, "16-20", H403&gt;20, "21+")</f>
        <v>11-15</v>
      </c>
      <c r="J403">
        <v>75</v>
      </c>
      <c r="K403">
        <v>0</v>
      </c>
      <c r="L403" t="s">
        <v>2085</v>
      </c>
      <c r="M403" s="1">
        <v>0.92</v>
      </c>
    </row>
    <row r="404" spans="1:13" x14ac:dyDescent="0.3">
      <c r="A404" t="s">
        <v>881</v>
      </c>
      <c r="B404" t="s">
        <v>882</v>
      </c>
      <c r="C404" t="s">
        <v>93</v>
      </c>
      <c r="D404">
        <v>50</v>
      </c>
      <c r="E404" t="s">
        <v>27</v>
      </c>
      <c r="F404" t="s">
        <v>28</v>
      </c>
      <c r="G404" t="s">
        <v>85</v>
      </c>
      <c r="H404">
        <v>2</v>
      </c>
      <c r="I404" t="str" cm="1">
        <f t="array" ref="I404">_xlfn.IFS(H404&lt;=5, "0-5", H404&lt;=10, "6-10", H404&lt;=15, "11-15", H404&lt;=20, "16-20", H404&gt;20, "21+")</f>
        <v>0-5</v>
      </c>
      <c r="J404">
        <v>30</v>
      </c>
      <c r="L404" t="s">
        <v>2085</v>
      </c>
      <c r="M404" s="1">
        <v>0.64</v>
      </c>
    </row>
    <row r="405" spans="1:13" x14ac:dyDescent="0.3">
      <c r="A405" t="s">
        <v>883</v>
      </c>
      <c r="B405" t="s">
        <v>884</v>
      </c>
      <c r="C405" t="s">
        <v>73</v>
      </c>
      <c r="D405">
        <v>41</v>
      </c>
      <c r="E405" t="s">
        <v>20</v>
      </c>
      <c r="F405" t="s">
        <v>21</v>
      </c>
      <c r="G405" t="s">
        <v>16</v>
      </c>
      <c r="H405">
        <v>31</v>
      </c>
      <c r="I405" t="str" cm="1">
        <f t="array" ref="I405">_xlfn.IFS(H405&lt;=5, "0-5", H405&lt;=10, "6-10", H405&lt;=15, "11-15", H405&lt;=20, "16-20", H405&gt;20, "21+")</f>
        <v>21+</v>
      </c>
      <c r="J405">
        <v>30</v>
      </c>
      <c r="K405">
        <v>0</v>
      </c>
      <c r="L405" t="s">
        <v>2086</v>
      </c>
      <c r="M405" s="1">
        <v>0.78</v>
      </c>
    </row>
    <row r="406" spans="1:13" x14ac:dyDescent="0.3">
      <c r="A406" t="s">
        <v>885</v>
      </c>
      <c r="B406" t="s">
        <v>886</v>
      </c>
      <c r="C406" t="s">
        <v>93</v>
      </c>
      <c r="E406" t="s">
        <v>148</v>
      </c>
      <c r="F406" t="s">
        <v>149</v>
      </c>
      <c r="G406" t="s">
        <v>34</v>
      </c>
      <c r="H406">
        <v>17</v>
      </c>
      <c r="I406" t="str" cm="1">
        <f t="array" ref="I406">_xlfn.IFS(H406&lt;=5, "0-5", H406&lt;=10, "6-10", H406&lt;=15, "11-15", H406&lt;=20, "16-20", H406&gt;20, "21+")</f>
        <v>16-20</v>
      </c>
      <c r="J406">
        <v>20</v>
      </c>
      <c r="K406">
        <v>1.8</v>
      </c>
      <c r="L406" t="s">
        <v>2086</v>
      </c>
      <c r="M406" s="1">
        <v>0.85</v>
      </c>
    </row>
    <row r="407" spans="1:13" x14ac:dyDescent="0.3">
      <c r="A407" t="s">
        <v>887</v>
      </c>
      <c r="B407" t="s">
        <v>888</v>
      </c>
      <c r="C407" t="s">
        <v>73</v>
      </c>
      <c r="D407">
        <v>51</v>
      </c>
      <c r="E407" t="s">
        <v>40</v>
      </c>
      <c r="F407" t="s">
        <v>41</v>
      </c>
      <c r="G407" t="s">
        <v>74</v>
      </c>
      <c r="H407">
        <v>2</v>
      </c>
      <c r="I407" t="str" cm="1">
        <f t="array" ref="I407">_xlfn.IFS(H407&lt;=5, "0-5", H407&lt;=10, "6-10", H407&lt;=15, "11-15", H407&lt;=20, "16-20", H407&gt;20, "21+")</f>
        <v>0-5</v>
      </c>
      <c r="J407">
        <v>50</v>
      </c>
      <c r="K407">
        <v>0</v>
      </c>
      <c r="L407" t="s">
        <v>2085</v>
      </c>
      <c r="M407" s="1">
        <v>0.78</v>
      </c>
    </row>
    <row r="408" spans="1:13" x14ac:dyDescent="0.3">
      <c r="A408" t="s">
        <v>889</v>
      </c>
      <c r="B408" t="s">
        <v>890</v>
      </c>
      <c r="C408" t="s">
        <v>93</v>
      </c>
      <c r="D408">
        <v>21</v>
      </c>
      <c r="E408" t="s">
        <v>130</v>
      </c>
      <c r="F408" t="s">
        <v>131</v>
      </c>
      <c r="G408" t="s">
        <v>42</v>
      </c>
      <c r="H408">
        <v>2</v>
      </c>
      <c r="I408" t="str" cm="1">
        <f t="array" ref="I408">_xlfn.IFS(H408&lt;=5, "0-5", H408&lt;=10, "6-10", H408&lt;=15, "11-15", H408&lt;=20, "16-20", H408&gt;20, "21+")</f>
        <v>0-5</v>
      </c>
      <c r="J408">
        <v>30</v>
      </c>
      <c r="K408">
        <v>3.8</v>
      </c>
      <c r="L408" t="s">
        <v>2086</v>
      </c>
      <c r="M408" s="1">
        <v>0.98</v>
      </c>
    </row>
    <row r="409" spans="1:13" x14ac:dyDescent="0.3">
      <c r="A409" t="s">
        <v>891</v>
      </c>
      <c r="B409" t="s">
        <v>892</v>
      </c>
      <c r="C409" t="s">
        <v>93</v>
      </c>
      <c r="D409">
        <v>51</v>
      </c>
      <c r="E409" t="s">
        <v>81</v>
      </c>
      <c r="F409" t="s">
        <v>82</v>
      </c>
      <c r="G409" t="s">
        <v>42</v>
      </c>
      <c r="H409">
        <v>22</v>
      </c>
      <c r="I409" t="str" cm="1">
        <f t="array" ref="I409">_xlfn.IFS(H409&lt;=5, "0-5", H409&lt;=10, "6-10", H409&lt;=15, "11-15", H409&lt;=20, "16-20", H409&gt;20, "21+")</f>
        <v>21+</v>
      </c>
      <c r="J409">
        <v>40</v>
      </c>
      <c r="K409">
        <v>0</v>
      </c>
      <c r="L409" t="s">
        <v>2086</v>
      </c>
      <c r="M409" s="1">
        <v>0.63</v>
      </c>
    </row>
    <row r="410" spans="1:13" x14ac:dyDescent="0.3">
      <c r="A410" t="s">
        <v>893</v>
      </c>
      <c r="B410" t="s">
        <v>894</v>
      </c>
      <c r="C410" t="s">
        <v>73</v>
      </c>
      <c r="D410">
        <v>37</v>
      </c>
      <c r="E410" t="s">
        <v>46</v>
      </c>
      <c r="F410" t="s">
        <v>47</v>
      </c>
      <c r="G410" t="s">
        <v>29</v>
      </c>
      <c r="H410">
        <v>8</v>
      </c>
      <c r="I410" t="str" cm="1">
        <f t="array" ref="I410">_xlfn.IFS(H410&lt;=5, "0-5", H410&lt;=10, "6-10", H410&lt;=15, "11-15", H410&lt;=20, "16-20", H410&gt;20, "21+")</f>
        <v>6-10</v>
      </c>
      <c r="J410">
        <v>40</v>
      </c>
      <c r="K410">
        <v>3.6</v>
      </c>
      <c r="L410" t="s">
        <v>2085</v>
      </c>
      <c r="M410" s="1">
        <v>0.73</v>
      </c>
    </row>
    <row r="411" spans="1:13" x14ac:dyDescent="0.3">
      <c r="A411" t="s">
        <v>895</v>
      </c>
      <c r="B411" t="s">
        <v>896</v>
      </c>
      <c r="C411" t="s">
        <v>73</v>
      </c>
      <c r="D411">
        <v>20</v>
      </c>
      <c r="E411" t="s">
        <v>184</v>
      </c>
      <c r="F411" t="s">
        <v>68</v>
      </c>
      <c r="G411" t="s">
        <v>29</v>
      </c>
      <c r="H411">
        <v>9</v>
      </c>
      <c r="I411" t="str" cm="1">
        <f t="array" ref="I411">_xlfn.IFS(H411&lt;=5, "0-5", H411&lt;=10, "6-10", H411&lt;=15, "11-15", H411&lt;=20, "16-20", H411&gt;20, "21+")</f>
        <v>6-10</v>
      </c>
      <c r="J411">
        <v>30</v>
      </c>
      <c r="K411">
        <v>0</v>
      </c>
      <c r="L411" t="s">
        <v>2085</v>
      </c>
      <c r="M411" s="1">
        <v>0.94</v>
      </c>
    </row>
    <row r="412" spans="1:13" x14ac:dyDescent="0.3">
      <c r="A412" t="s">
        <v>897</v>
      </c>
      <c r="B412" t="s">
        <v>898</v>
      </c>
      <c r="C412" t="s">
        <v>73</v>
      </c>
      <c r="D412">
        <v>50</v>
      </c>
      <c r="E412" t="s">
        <v>20</v>
      </c>
      <c r="F412" t="s">
        <v>21</v>
      </c>
      <c r="G412" t="s">
        <v>34</v>
      </c>
      <c r="H412">
        <v>32</v>
      </c>
      <c r="I412" t="str" cm="1">
        <f t="array" ref="I412">_xlfn.IFS(H412&lt;=5, "0-5", H412&lt;=10, "6-10", H412&lt;=15, "11-15", H412&lt;=20, "16-20", H412&gt;20, "21+")</f>
        <v>21+</v>
      </c>
      <c r="J412">
        <v>50</v>
      </c>
      <c r="K412">
        <v>4.0999999999999996</v>
      </c>
      <c r="M412" s="1">
        <v>0.81</v>
      </c>
    </row>
    <row r="413" spans="1:13" x14ac:dyDescent="0.3">
      <c r="A413" t="s">
        <v>899</v>
      </c>
      <c r="B413" t="s">
        <v>900</v>
      </c>
      <c r="C413" t="s">
        <v>73</v>
      </c>
      <c r="D413">
        <v>58</v>
      </c>
      <c r="E413" t="s">
        <v>59</v>
      </c>
      <c r="F413" t="s">
        <v>60</v>
      </c>
      <c r="G413" t="s">
        <v>29</v>
      </c>
      <c r="H413">
        <v>8</v>
      </c>
      <c r="I413" t="str" cm="1">
        <f t="array" ref="I413">_xlfn.IFS(H413&lt;=5, "0-5", H413&lt;=10, "6-10", H413&lt;=15, "11-15", H413&lt;=20, "16-20", H413&gt;20, "21+")</f>
        <v>6-10</v>
      </c>
      <c r="J413">
        <v>50</v>
      </c>
      <c r="K413">
        <v>2.6</v>
      </c>
      <c r="L413" t="s">
        <v>2086</v>
      </c>
      <c r="M413" s="1">
        <v>0.61</v>
      </c>
    </row>
    <row r="414" spans="1:13" x14ac:dyDescent="0.3">
      <c r="A414" t="s">
        <v>901</v>
      </c>
      <c r="B414" t="s">
        <v>902</v>
      </c>
      <c r="C414" t="s">
        <v>73</v>
      </c>
      <c r="D414">
        <v>40</v>
      </c>
      <c r="E414" t="s">
        <v>103</v>
      </c>
      <c r="F414" t="s">
        <v>104</v>
      </c>
      <c r="G414" t="s">
        <v>69</v>
      </c>
      <c r="H414">
        <v>10</v>
      </c>
      <c r="I414" t="str" cm="1">
        <f t="array" ref="I414">_xlfn.IFS(H414&lt;=5, "0-5", H414&lt;=10, "6-10", H414&lt;=15, "11-15", H414&lt;=20, "16-20", H414&gt;20, "21+")</f>
        <v>6-10</v>
      </c>
      <c r="J414">
        <v>100</v>
      </c>
      <c r="K414">
        <v>0</v>
      </c>
      <c r="L414" t="s">
        <v>2085</v>
      </c>
    </row>
    <row r="415" spans="1:13" x14ac:dyDescent="0.3">
      <c r="A415" t="s">
        <v>903</v>
      </c>
      <c r="B415" t="s">
        <v>904</v>
      </c>
      <c r="C415" t="s">
        <v>73</v>
      </c>
      <c r="D415">
        <v>26</v>
      </c>
      <c r="E415" t="s">
        <v>134</v>
      </c>
      <c r="F415" t="s">
        <v>135</v>
      </c>
      <c r="G415" t="s">
        <v>34</v>
      </c>
      <c r="H415">
        <v>0</v>
      </c>
      <c r="I415" t="str" cm="1">
        <f t="array" ref="I415">_xlfn.IFS(H415&lt;=5, "0-5", H415&lt;=10, "6-10", H415&lt;=15, "11-15", H415&lt;=20, "16-20", H415&gt;20, "21+")</f>
        <v>0-5</v>
      </c>
      <c r="J415">
        <v>20</v>
      </c>
      <c r="K415">
        <v>1.3</v>
      </c>
      <c r="L415" t="s">
        <v>2085</v>
      </c>
      <c r="M415" s="1">
        <v>0.83</v>
      </c>
    </row>
    <row r="416" spans="1:13" x14ac:dyDescent="0.3">
      <c r="A416" t="s">
        <v>905</v>
      </c>
      <c r="B416" t="s">
        <v>906</v>
      </c>
      <c r="C416" t="s">
        <v>73</v>
      </c>
      <c r="D416">
        <v>44</v>
      </c>
      <c r="E416" t="s">
        <v>108</v>
      </c>
      <c r="F416" t="s">
        <v>109</v>
      </c>
      <c r="G416" t="s">
        <v>74</v>
      </c>
      <c r="H416">
        <v>22</v>
      </c>
      <c r="I416" t="str" cm="1">
        <f t="array" ref="I416">_xlfn.IFS(H416&lt;=5, "0-5", H416&lt;=10, "6-10", H416&lt;=15, "11-15", H416&lt;=20, "16-20", H416&gt;20, "21+")</f>
        <v>21+</v>
      </c>
      <c r="J416">
        <v>30</v>
      </c>
      <c r="K416">
        <v>4.0999999999999996</v>
      </c>
      <c r="L416" t="s">
        <v>2086</v>
      </c>
    </row>
    <row r="417" spans="1:13" x14ac:dyDescent="0.3">
      <c r="A417" t="s">
        <v>907</v>
      </c>
      <c r="B417" t="s">
        <v>908</v>
      </c>
      <c r="C417" t="s">
        <v>93</v>
      </c>
      <c r="D417">
        <v>42</v>
      </c>
      <c r="E417" t="s">
        <v>173</v>
      </c>
      <c r="F417" t="s">
        <v>68</v>
      </c>
      <c r="G417" t="s">
        <v>110</v>
      </c>
      <c r="H417">
        <v>34</v>
      </c>
      <c r="I417" t="str" cm="1">
        <f t="array" ref="I417">_xlfn.IFS(H417&lt;=5, "0-5", H417&lt;=10, "6-10", H417&lt;=15, "11-15", H417&lt;=20, "16-20", H417&gt;20, "21+")</f>
        <v>21+</v>
      </c>
      <c r="J417">
        <v>50</v>
      </c>
      <c r="K417">
        <v>2.4</v>
      </c>
      <c r="L417" t="s">
        <v>2085</v>
      </c>
      <c r="M417" s="1">
        <v>0.68</v>
      </c>
    </row>
    <row r="418" spans="1:13" x14ac:dyDescent="0.3">
      <c r="A418" t="s">
        <v>909</v>
      </c>
      <c r="B418" t="s">
        <v>329</v>
      </c>
      <c r="C418" t="s">
        <v>93</v>
      </c>
      <c r="D418">
        <v>38</v>
      </c>
      <c r="E418" t="s">
        <v>173</v>
      </c>
      <c r="F418" t="s">
        <v>68</v>
      </c>
      <c r="G418" t="s">
        <v>48</v>
      </c>
      <c r="H418">
        <v>5</v>
      </c>
      <c r="I418" t="str" cm="1">
        <f t="array" ref="I418">_xlfn.IFS(H418&lt;=5, "0-5", H418&lt;=10, "6-10", H418&lt;=15, "11-15", H418&lt;=20, "16-20", H418&gt;20, "21+")</f>
        <v>0-5</v>
      </c>
      <c r="J418">
        <v>50</v>
      </c>
      <c r="K418">
        <v>0</v>
      </c>
      <c r="L418" t="s">
        <v>2085</v>
      </c>
      <c r="M418" s="1">
        <v>0.74</v>
      </c>
    </row>
    <row r="419" spans="1:13" x14ac:dyDescent="0.3">
      <c r="A419" t="s">
        <v>910</v>
      </c>
      <c r="B419" t="s">
        <v>911</v>
      </c>
      <c r="C419" t="s">
        <v>93</v>
      </c>
      <c r="D419">
        <v>51</v>
      </c>
      <c r="E419" t="s">
        <v>134</v>
      </c>
      <c r="F419" t="s">
        <v>135</v>
      </c>
      <c r="G419" t="s">
        <v>34</v>
      </c>
      <c r="H419">
        <v>3</v>
      </c>
      <c r="I419" t="str" cm="1">
        <f t="array" ref="I419">_xlfn.IFS(H419&lt;=5, "0-5", H419&lt;=10, "6-10", H419&lt;=15, "11-15", H419&lt;=20, "16-20", H419&gt;20, "21+")</f>
        <v>0-5</v>
      </c>
      <c r="J419">
        <v>100</v>
      </c>
      <c r="K419">
        <v>4.4000000000000004</v>
      </c>
      <c r="L419" t="s">
        <v>2085</v>
      </c>
      <c r="M419" s="1">
        <v>0.91</v>
      </c>
    </row>
    <row r="420" spans="1:13" x14ac:dyDescent="0.3">
      <c r="A420" t="s">
        <v>912</v>
      </c>
      <c r="B420" t="s">
        <v>913</v>
      </c>
      <c r="C420" t="s">
        <v>73</v>
      </c>
      <c r="D420">
        <v>36</v>
      </c>
      <c r="E420" t="s">
        <v>130</v>
      </c>
      <c r="F420" t="s">
        <v>131</v>
      </c>
      <c r="G420" t="s">
        <v>42</v>
      </c>
      <c r="H420">
        <v>10</v>
      </c>
      <c r="I420" t="str" cm="1">
        <f t="array" ref="I420">_xlfn.IFS(H420&lt;=5, "0-5", H420&lt;=10, "6-10", H420&lt;=15, "11-15", H420&lt;=20, "16-20", H420&gt;20, "21+")</f>
        <v>6-10</v>
      </c>
      <c r="J420">
        <v>100</v>
      </c>
      <c r="K420">
        <v>2.2000000000000002</v>
      </c>
      <c r="L420" t="s">
        <v>2086</v>
      </c>
      <c r="M420" s="1">
        <v>0.97</v>
      </c>
    </row>
    <row r="421" spans="1:13" x14ac:dyDescent="0.3">
      <c r="A421" t="s">
        <v>914</v>
      </c>
      <c r="B421" t="s">
        <v>2097</v>
      </c>
      <c r="C421" t="s">
        <v>73</v>
      </c>
      <c r="D421">
        <v>37</v>
      </c>
      <c r="E421" t="s">
        <v>20</v>
      </c>
      <c r="F421" t="s">
        <v>21</v>
      </c>
      <c r="G421" t="s">
        <v>22</v>
      </c>
      <c r="I421" t="str" cm="1">
        <f t="array" ref="I421">_xlfn.IFS(H421&lt;=5, "0-5", H421&lt;=10, "6-10", H421&lt;=15, "11-15", H421&lt;=20, "16-20", H421&gt;20, "21+")</f>
        <v>0-5</v>
      </c>
      <c r="J421">
        <v>30</v>
      </c>
      <c r="K421">
        <v>0</v>
      </c>
      <c r="L421" t="s">
        <v>2085</v>
      </c>
      <c r="M421" s="1">
        <v>0.96</v>
      </c>
    </row>
    <row r="422" spans="1:13" x14ac:dyDescent="0.3">
      <c r="A422" t="s">
        <v>916</v>
      </c>
      <c r="B422" t="s">
        <v>917</v>
      </c>
      <c r="C422" t="s">
        <v>93</v>
      </c>
      <c r="D422">
        <v>31</v>
      </c>
      <c r="E422" t="s">
        <v>148</v>
      </c>
      <c r="F422" t="s">
        <v>149</v>
      </c>
      <c r="G422" t="s">
        <v>85</v>
      </c>
      <c r="H422">
        <v>6</v>
      </c>
      <c r="I422" t="str" cm="1">
        <f t="array" ref="I422">_xlfn.IFS(H422&lt;=5, "0-5", H422&lt;=10, "6-10", H422&lt;=15, "11-15", H422&lt;=20, "16-20", H422&gt;20, "21+")</f>
        <v>6-10</v>
      </c>
      <c r="J422">
        <v>50</v>
      </c>
      <c r="K422">
        <v>1.1000000000000001</v>
      </c>
      <c r="L422" t="s">
        <v>2086</v>
      </c>
      <c r="M422" s="1">
        <v>0.73</v>
      </c>
    </row>
    <row r="423" spans="1:13" x14ac:dyDescent="0.3">
      <c r="A423" t="s">
        <v>918</v>
      </c>
      <c r="B423" t="s">
        <v>919</v>
      </c>
      <c r="C423" t="s">
        <v>73</v>
      </c>
      <c r="D423">
        <v>47</v>
      </c>
      <c r="E423" t="s">
        <v>89</v>
      </c>
      <c r="F423" t="s">
        <v>90</v>
      </c>
      <c r="G423" t="s">
        <v>74</v>
      </c>
      <c r="H423">
        <v>1</v>
      </c>
      <c r="I423" t="str" cm="1">
        <f t="array" ref="I423">_xlfn.IFS(H423&lt;=5, "0-5", H423&lt;=10, "6-10", H423&lt;=15, "11-15", H423&lt;=20, "16-20", H423&gt;20, "21+")</f>
        <v>0-5</v>
      </c>
      <c r="K423">
        <v>1.4</v>
      </c>
      <c r="L423" t="s">
        <v>2086</v>
      </c>
      <c r="M423" s="1">
        <v>0.72</v>
      </c>
    </row>
    <row r="424" spans="1:13" x14ac:dyDescent="0.3">
      <c r="A424" t="s">
        <v>920</v>
      </c>
      <c r="B424" t="s">
        <v>921</v>
      </c>
      <c r="C424" t="s">
        <v>73</v>
      </c>
      <c r="D424">
        <v>60</v>
      </c>
      <c r="E424" t="s">
        <v>173</v>
      </c>
      <c r="F424" t="s">
        <v>68</v>
      </c>
      <c r="G424" t="s">
        <v>69</v>
      </c>
      <c r="H424">
        <v>0</v>
      </c>
      <c r="I424" t="str" cm="1">
        <f t="array" ref="I424">_xlfn.IFS(H424&lt;=5, "0-5", H424&lt;=10, "6-10", H424&lt;=15, "11-15", H424&lt;=20, "16-20", H424&gt;20, "21+")</f>
        <v>0-5</v>
      </c>
      <c r="J424">
        <v>100</v>
      </c>
      <c r="K424">
        <v>0</v>
      </c>
      <c r="L424" t="s">
        <v>2086</v>
      </c>
      <c r="M424" s="1">
        <v>0.74</v>
      </c>
    </row>
    <row r="425" spans="1:13" x14ac:dyDescent="0.3">
      <c r="A425" t="s">
        <v>922</v>
      </c>
      <c r="B425" t="s">
        <v>923</v>
      </c>
      <c r="C425" t="s">
        <v>73</v>
      </c>
      <c r="D425">
        <v>48</v>
      </c>
      <c r="E425" t="s">
        <v>67</v>
      </c>
      <c r="F425" t="s">
        <v>68</v>
      </c>
      <c r="G425" t="s">
        <v>22</v>
      </c>
      <c r="I425" t="str" cm="1">
        <f t="array" ref="I425">_xlfn.IFS(H425&lt;=5, "0-5", H425&lt;=10, "6-10", H425&lt;=15, "11-15", H425&lt;=20, "16-20", H425&gt;20, "21+")</f>
        <v>0-5</v>
      </c>
      <c r="J425">
        <v>30</v>
      </c>
      <c r="K425">
        <v>1.5</v>
      </c>
      <c r="L425" t="s">
        <v>2085</v>
      </c>
    </row>
    <row r="426" spans="1:13" x14ac:dyDescent="0.3">
      <c r="A426" t="s">
        <v>924</v>
      </c>
      <c r="B426" t="s">
        <v>925</v>
      </c>
      <c r="C426" t="s">
        <v>73</v>
      </c>
      <c r="D426">
        <v>24</v>
      </c>
      <c r="E426" t="s">
        <v>89</v>
      </c>
      <c r="F426" t="s">
        <v>90</v>
      </c>
      <c r="G426" t="s">
        <v>42</v>
      </c>
      <c r="H426">
        <v>13</v>
      </c>
      <c r="I426" t="str" cm="1">
        <f t="array" ref="I426">_xlfn.IFS(H426&lt;=5, "0-5", H426&lt;=10, "6-10", H426&lt;=15, "11-15", H426&lt;=20, "16-20", H426&gt;20, "21+")</f>
        <v>11-15</v>
      </c>
      <c r="J426">
        <v>20</v>
      </c>
      <c r="K426">
        <v>0</v>
      </c>
      <c r="L426" t="s">
        <v>2086</v>
      </c>
    </row>
    <row r="427" spans="1:13" x14ac:dyDescent="0.3">
      <c r="A427" t="s">
        <v>926</v>
      </c>
      <c r="B427" t="s">
        <v>927</v>
      </c>
      <c r="C427" t="s">
        <v>73</v>
      </c>
      <c r="D427">
        <v>35</v>
      </c>
      <c r="E427" t="s">
        <v>40</v>
      </c>
      <c r="F427" t="s">
        <v>41</v>
      </c>
      <c r="G427" t="s">
        <v>110</v>
      </c>
      <c r="H427">
        <v>0</v>
      </c>
      <c r="I427" t="str" cm="1">
        <f t="array" ref="I427">_xlfn.IFS(H427&lt;=5, "0-5", H427&lt;=10, "6-10", H427&lt;=15, "11-15", H427&lt;=20, "16-20", H427&gt;20, "21+")</f>
        <v>0-5</v>
      </c>
      <c r="J427">
        <v>75</v>
      </c>
      <c r="K427">
        <v>0</v>
      </c>
      <c r="M427" s="1">
        <v>0.74</v>
      </c>
    </row>
    <row r="428" spans="1:13" x14ac:dyDescent="0.3">
      <c r="A428" t="s">
        <v>928</v>
      </c>
      <c r="B428" t="s">
        <v>929</v>
      </c>
      <c r="C428" t="s">
        <v>93</v>
      </c>
      <c r="D428">
        <v>35</v>
      </c>
      <c r="E428" t="s">
        <v>55</v>
      </c>
      <c r="F428" t="s">
        <v>21</v>
      </c>
      <c r="G428" t="s">
        <v>85</v>
      </c>
      <c r="H428">
        <v>7</v>
      </c>
      <c r="I428" t="str" cm="1">
        <f t="array" ref="I428">_xlfn.IFS(H428&lt;=5, "0-5", H428&lt;=10, "6-10", H428&lt;=15, "11-15", H428&lt;=20, "16-20", H428&gt;20, "21+")</f>
        <v>6-10</v>
      </c>
      <c r="J428">
        <v>100</v>
      </c>
      <c r="K428">
        <v>3.5</v>
      </c>
      <c r="L428" t="s">
        <v>2086</v>
      </c>
      <c r="M428" s="1">
        <v>0.71</v>
      </c>
    </row>
    <row r="429" spans="1:13" x14ac:dyDescent="0.3">
      <c r="A429" t="s">
        <v>930</v>
      </c>
      <c r="B429" t="s">
        <v>931</v>
      </c>
      <c r="C429" t="s">
        <v>73</v>
      </c>
      <c r="D429">
        <v>29</v>
      </c>
      <c r="E429" t="s">
        <v>40</v>
      </c>
      <c r="F429" t="s">
        <v>41</v>
      </c>
      <c r="G429" t="s">
        <v>69</v>
      </c>
      <c r="H429">
        <v>6</v>
      </c>
      <c r="I429" t="str" cm="1">
        <f t="array" ref="I429">_xlfn.IFS(H429&lt;=5, "0-5", H429&lt;=10, "6-10", H429&lt;=15, "11-15", H429&lt;=20, "16-20", H429&gt;20, "21+")</f>
        <v>6-10</v>
      </c>
      <c r="K429">
        <v>4.8</v>
      </c>
      <c r="L429" t="s">
        <v>2085</v>
      </c>
      <c r="M429" s="1">
        <v>0.83</v>
      </c>
    </row>
    <row r="430" spans="1:13" x14ac:dyDescent="0.3">
      <c r="A430" t="s">
        <v>932</v>
      </c>
      <c r="B430" t="s">
        <v>933</v>
      </c>
      <c r="C430" t="s">
        <v>73</v>
      </c>
      <c r="D430">
        <v>36</v>
      </c>
      <c r="E430" t="s">
        <v>14</v>
      </c>
      <c r="F430" t="s">
        <v>15</v>
      </c>
      <c r="G430" t="s">
        <v>110</v>
      </c>
      <c r="H430">
        <v>2</v>
      </c>
      <c r="I430" t="str" cm="1">
        <f t="array" ref="I430">_xlfn.IFS(H430&lt;=5, "0-5", H430&lt;=10, "6-10", H430&lt;=15, "11-15", H430&lt;=20, "16-20", H430&gt;20, "21+")</f>
        <v>0-5</v>
      </c>
      <c r="J430">
        <v>75</v>
      </c>
      <c r="M430" s="1">
        <v>0.63</v>
      </c>
    </row>
    <row r="431" spans="1:13" x14ac:dyDescent="0.3">
      <c r="A431" t="s">
        <v>934</v>
      </c>
      <c r="B431" t="s">
        <v>935</v>
      </c>
      <c r="C431" t="s">
        <v>73</v>
      </c>
      <c r="D431">
        <v>44</v>
      </c>
      <c r="E431" t="s">
        <v>123</v>
      </c>
      <c r="F431" t="s">
        <v>21</v>
      </c>
      <c r="G431" t="s">
        <v>42</v>
      </c>
      <c r="H431">
        <v>13</v>
      </c>
      <c r="I431" t="str" cm="1">
        <f t="array" ref="I431">_xlfn.IFS(H431&lt;=5, "0-5", H431&lt;=10, "6-10", H431&lt;=15, "11-15", H431&lt;=20, "16-20", H431&gt;20, "21+")</f>
        <v>11-15</v>
      </c>
      <c r="K431">
        <v>4.8</v>
      </c>
      <c r="M431" s="1">
        <v>0.84</v>
      </c>
    </row>
    <row r="432" spans="1:13" x14ac:dyDescent="0.3">
      <c r="A432" t="s">
        <v>936</v>
      </c>
      <c r="B432" t="s">
        <v>937</v>
      </c>
      <c r="C432" t="s">
        <v>93</v>
      </c>
      <c r="D432">
        <v>44</v>
      </c>
      <c r="E432" t="s">
        <v>148</v>
      </c>
      <c r="F432" t="s">
        <v>149</v>
      </c>
      <c r="G432" t="s">
        <v>34</v>
      </c>
      <c r="H432">
        <v>7</v>
      </c>
      <c r="I432" t="str" cm="1">
        <f t="array" ref="I432">_xlfn.IFS(H432&lt;=5, "0-5", H432&lt;=10, "6-10", H432&lt;=15, "11-15", H432&lt;=20, "16-20", H432&gt;20, "21+")</f>
        <v>6-10</v>
      </c>
      <c r="K432">
        <v>1.4</v>
      </c>
      <c r="L432" t="s">
        <v>2085</v>
      </c>
      <c r="M432" s="1">
        <v>0.93</v>
      </c>
    </row>
    <row r="433" spans="1:13" x14ac:dyDescent="0.3">
      <c r="A433" t="s">
        <v>938</v>
      </c>
      <c r="B433" t="s">
        <v>2098</v>
      </c>
      <c r="C433" t="s">
        <v>93</v>
      </c>
      <c r="D433">
        <v>40</v>
      </c>
      <c r="E433" t="s">
        <v>89</v>
      </c>
      <c r="F433" t="s">
        <v>90</v>
      </c>
      <c r="G433" t="s">
        <v>42</v>
      </c>
      <c r="H433">
        <v>7</v>
      </c>
      <c r="I433" t="str" cm="1">
        <f t="array" ref="I433">_xlfn.IFS(H433&lt;=5, "0-5", H433&lt;=10, "6-10", H433&lt;=15, "11-15", H433&lt;=20, "16-20", H433&gt;20, "21+")</f>
        <v>6-10</v>
      </c>
      <c r="J433">
        <v>100</v>
      </c>
      <c r="K433">
        <v>1.1000000000000001</v>
      </c>
      <c r="L433" t="s">
        <v>2086</v>
      </c>
    </row>
    <row r="434" spans="1:13" x14ac:dyDescent="0.3">
      <c r="A434" t="s">
        <v>940</v>
      </c>
      <c r="B434" t="s">
        <v>941</v>
      </c>
      <c r="C434" t="s">
        <v>73</v>
      </c>
      <c r="D434">
        <v>53</v>
      </c>
      <c r="E434" t="s">
        <v>40</v>
      </c>
      <c r="F434" t="s">
        <v>41</v>
      </c>
      <c r="G434" t="s">
        <v>110</v>
      </c>
      <c r="H434">
        <v>15</v>
      </c>
      <c r="I434" t="str" cm="1">
        <f t="array" ref="I434">_xlfn.IFS(H434&lt;=5, "0-5", H434&lt;=10, "6-10", H434&lt;=15, "11-15", H434&lt;=20, "16-20", H434&gt;20, "21+")</f>
        <v>11-15</v>
      </c>
      <c r="J434">
        <v>50</v>
      </c>
      <c r="K434">
        <v>3.3</v>
      </c>
      <c r="L434" t="s">
        <v>2086</v>
      </c>
      <c r="M434" s="1">
        <v>0.93</v>
      </c>
    </row>
    <row r="435" spans="1:13" x14ac:dyDescent="0.3">
      <c r="A435" t="s">
        <v>942</v>
      </c>
      <c r="B435" t="s">
        <v>943</v>
      </c>
      <c r="C435" t="s">
        <v>73</v>
      </c>
      <c r="D435">
        <v>35</v>
      </c>
      <c r="E435" t="s">
        <v>27</v>
      </c>
      <c r="F435" t="s">
        <v>28</v>
      </c>
      <c r="G435" t="s">
        <v>16</v>
      </c>
      <c r="I435" t="str" cm="1">
        <f t="array" ref="I435">_xlfn.IFS(H435&lt;=5, "0-5", H435&lt;=10, "6-10", H435&lt;=15, "11-15", H435&lt;=20, "16-20", H435&gt;20, "21+")</f>
        <v>0-5</v>
      </c>
      <c r="J435">
        <v>30</v>
      </c>
      <c r="K435">
        <v>4.5999999999999996</v>
      </c>
      <c r="M435" s="1">
        <v>0.97</v>
      </c>
    </row>
    <row r="436" spans="1:13" x14ac:dyDescent="0.3">
      <c r="A436" t="s">
        <v>944</v>
      </c>
      <c r="B436" t="s">
        <v>945</v>
      </c>
      <c r="C436" t="s">
        <v>73</v>
      </c>
      <c r="D436">
        <v>27</v>
      </c>
      <c r="E436" t="s">
        <v>67</v>
      </c>
      <c r="F436" t="s">
        <v>68</v>
      </c>
      <c r="G436" t="s">
        <v>110</v>
      </c>
      <c r="H436">
        <v>5</v>
      </c>
      <c r="I436" t="str" cm="1">
        <f t="array" ref="I436">_xlfn.IFS(H436&lt;=5, "0-5", H436&lt;=10, "6-10", H436&lt;=15, "11-15", H436&lt;=20, "16-20", H436&gt;20, "21+")</f>
        <v>0-5</v>
      </c>
      <c r="J436">
        <v>75</v>
      </c>
      <c r="K436">
        <v>2.8</v>
      </c>
      <c r="L436" t="s">
        <v>2086</v>
      </c>
      <c r="M436" s="1">
        <v>0.92</v>
      </c>
    </row>
    <row r="437" spans="1:13" x14ac:dyDescent="0.3">
      <c r="A437" t="s">
        <v>946</v>
      </c>
      <c r="B437" t="s">
        <v>947</v>
      </c>
      <c r="C437" t="s">
        <v>93</v>
      </c>
      <c r="D437">
        <v>34</v>
      </c>
      <c r="E437" t="s">
        <v>20</v>
      </c>
      <c r="F437" t="s">
        <v>21</v>
      </c>
      <c r="G437" t="s">
        <v>85</v>
      </c>
      <c r="I437" t="str" cm="1">
        <f t="array" ref="I437">_xlfn.IFS(H437&lt;=5, "0-5", H437&lt;=10, "6-10", H437&lt;=15, "11-15", H437&lt;=20, "16-20", H437&gt;20, "21+")</f>
        <v>0-5</v>
      </c>
      <c r="J437">
        <v>50</v>
      </c>
      <c r="K437">
        <v>5</v>
      </c>
      <c r="L437" t="s">
        <v>2086</v>
      </c>
      <c r="M437" s="1">
        <v>0.92</v>
      </c>
    </row>
    <row r="438" spans="1:13" x14ac:dyDescent="0.3">
      <c r="A438" t="s">
        <v>948</v>
      </c>
      <c r="B438" t="s">
        <v>949</v>
      </c>
      <c r="C438" t="s">
        <v>93</v>
      </c>
      <c r="D438">
        <v>24</v>
      </c>
      <c r="E438" t="s">
        <v>89</v>
      </c>
      <c r="F438" t="s">
        <v>90</v>
      </c>
      <c r="G438" t="s">
        <v>74</v>
      </c>
      <c r="H438">
        <v>10</v>
      </c>
      <c r="I438" t="str" cm="1">
        <f t="array" ref="I438">_xlfn.IFS(H438&lt;=5, "0-5", H438&lt;=10, "6-10", H438&lt;=15, "11-15", H438&lt;=20, "16-20", H438&gt;20, "21+")</f>
        <v>6-10</v>
      </c>
      <c r="J438">
        <v>75</v>
      </c>
      <c r="K438">
        <v>4.7</v>
      </c>
      <c r="L438" t="s">
        <v>2085</v>
      </c>
      <c r="M438" s="1">
        <v>0.68</v>
      </c>
    </row>
    <row r="439" spans="1:13" x14ac:dyDescent="0.3">
      <c r="A439" t="s">
        <v>950</v>
      </c>
      <c r="B439" t="s">
        <v>951</v>
      </c>
      <c r="C439" t="s">
        <v>93</v>
      </c>
      <c r="D439">
        <v>57</v>
      </c>
      <c r="E439" t="s">
        <v>55</v>
      </c>
      <c r="F439" t="s">
        <v>21</v>
      </c>
      <c r="G439" t="s">
        <v>69</v>
      </c>
      <c r="H439">
        <v>6</v>
      </c>
      <c r="I439" t="str" cm="1">
        <f t="array" ref="I439">_xlfn.IFS(H439&lt;=5, "0-5", H439&lt;=10, "6-10", H439&lt;=15, "11-15", H439&lt;=20, "16-20", H439&gt;20, "21+")</f>
        <v>6-10</v>
      </c>
      <c r="J439">
        <v>100</v>
      </c>
      <c r="K439">
        <v>3.5</v>
      </c>
      <c r="L439" t="s">
        <v>2085</v>
      </c>
      <c r="M439" s="1">
        <v>0.95</v>
      </c>
    </row>
    <row r="440" spans="1:13" x14ac:dyDescent="0.3">
      <c r="A440" t="s">
        <v>952</v>
      </c>
      <c r="B440" t="s">
        <v>953</v>
      </c>
      <c r="C440" t="s">
        <v>93</v>
      </c>
      <c r="D440">
        <v>28</v>
      </c>
      <c r="E440" t="s">
        <v>108</v>
      </c>
      <c r="F440" t="s">
        <v>109</v>
      </c>
      <c r="G440" t="s">
        <v>69</v>
      </c>
      <c r="H440">
        <v>8</v>
      </c>
      <c r="I440" t="str" cm="1">
        <f t="array" ref="I440">_xlfn.IFS(H440&lt;=5, "0-5", H440&lt;=10, "6-10", H440&lt;=15, "11-15", H440&lt;=20, "16-20", H440&gt;20, "21+")</f>
        <v>6-10</v>
      </c>
      <c r="J440">
        <v>100</v>
      </c>
      <c r="K440">
        <v>4.3</v>
      </c>
      <c r="L440" t="s">
        <v>2085</v>
      </c>
      <c r="M440" s="1">
        <v>0.76</v>
      </c>
    </row>
    <row r="441" spans="1:13" x14ac:dyDescent="0.3">
      <c r="A441" t="s">
        <v>954</v>
      </c>
      <c r="B441" t="s">
        <v>955</v>
      </c>
      <c r="C441" t="s">
        <v>73</v>
      </c>
      <c r="D441">
        <v>26</v>
      </c>
      <c r="E441" t="s">
        <v>14</v>
      </c>
      <c r="F441" t="s">
        <v>15</v>
      </c>
      <c r="G441" t="s">
        <v>85</v>
      </c>
      <c r="H441">
        <v>4</v>
      </c>
      <c r="I441" t="str" cm="1">
        <f t="array" ref="I441">_xlfn.IFS(H441&lt;=5, "0-5", H441&lt;=10, "6-10", H441&lt;=15, "11-15", H441&lt;=20, "16-20", H441&gt;20, "21+")</f>
        <v>0-5</v>
      </c>
      <c r="J441">
        <v>100</v>
      </c>
      <c r="K441">
        <v>3.3</v>
      </c>
      <c r="L441" t="s">
        <v>2086</v>
      </c>
      <c r="M441" s="1">
        <v>0.66</v>
      </c>
    </row>
    <row r="442" spans="1:13" x14ac:dyDescent="0.3">
      <c r="A442" t="s">
        <v>956</v>
      </c>
      <c r="B442" t="s">
        <v>957</v>
      </c>
      <c r="C442" t="s">
        <v>93</v>
      </c>
      <c r="D442">
        <v>34</v>
      </c>
      <c r="E442" t="s">
        <v>67</v>
      </c>
      <c r="F442" t="s">
        <v>68</v>
      </c>
      <c r="G442" t="s">
        <v>22</v>
      </c>
      <c r="H442">
        <v>3</v>
      </c>
      <c r="I442" t="str" cm="1">
        <f t="array" ref="I442">_xlfn.IFS(H442&lt;=5, "0-5", H442&lt;=10, "6-10", H442&lt;=15, "11-15", H442&lt;=20, "16-20", H442&gt;20, "21+")</f>
        <v>0-5</v>
      </c>
      <c r="J442">
        <v>75</v>
      </c>
      <c r="L442" t="s">
        <v>2085</v>
      </c>
      <c r="M442" s="1">
        <v>0.73</v>
      </c>
    </row>
    <row r="443" spans="1:13" x14ac:dyDescent="0.3">
      <c r="A443" t="s">
        <v>958</v>
      </c>
      <c r="B443" t="s">
        <v>959</v>
      </c>
      <c r="C443" t="s">
        <v>93</v>
      </c>
      <c r="D443">
        <v>43</v>
      </c>
      <c r="E443" t="s">
        <v>81</v>
      </c>
      <c r="F443" t="s">
        <v>82</v>
      </c>
      <c r="G443" t="s">
        <v>42</v>
      </c>
      <c r="I443" t="str" cm="1">
        <f t="array" ref="I443">_xlfn.IFS(H443&lt;=5, "0-5", H443&lt;=10, "6-10", H443&lt;=15, "11-15", H443&lt;=20, "16-20", H443&gt;20, "21+")</f>
        <v>0-5</v>
      </c>
      <c r="J443">
        <v>20</v>
      </c>
      <c r="K443">
        <v>2.8</v>
      </c>
      <c r="M443" s="1">
        <v>0.99</v>
      </c>
    </row>
    <row r="444" spans="1:13" x14ac:dyDescent="0.3">
      <c r="A444" t="s">
        <v>960</v>
      </c>
      <c r="B444" t="s">
        <v>961</v>
      </c>
      <c r="C444" t="s">
        <v>93</v>
      </c>
      <c r="D444">
        <v>31</v>
      </c>
      <c r="E444" t="s">
        <v>169</v>
      </c>
      <c r="F444" t="s">
        <v>170</v>
      </c>
      <c r="G444" t="s">
        <v>29</v>
      </c>
      <c r="H444">
        <v>11</v>
      </c>
      <c r="I444" t="str" cm="1">
        <f t="array" ref="I444">_xlfn.IFS(H444&lt;=5, "0-5", H444&lt;=10, "6-10", H444&lt;=15, "11-15", H444&lt;=20, "16-20", H444&gt;20, "21+")</f>
        <v>11-15</v>
      </c>
      <c r="K444">
        <v>2.7</v>
      </c>
      <c r="L444" t="s">
        <v>2086</v>
      </c>
      <c r="M444" s="1">
        <v>0.94</v>
      </c>
    </row>
    <row r="445" spans="1:13" x14ac:dyDescent="0.3">
      <c r="A445" t="s">
        <v>962</v>
      </c>
      <c r="B445" t="s">
        <v>963</v>
      </c>
      <c r="C445" t="s">
        <v>73</v>
      </c>
      <c r="D445">
        <v>34</v>
      </c>
      <c r="E445" t="s">
        <v>169</v>
      </c>
      <c r="F445" t="s">
        <v>170</v>
      </c>
      <c r="G445" t="s">
        <v>16</v>
      </c>
      <c r="H445">
        <v>17</v>
      </c>
      <c r="I445" t="str" cm="1">
        <f t="array" ref="I445">_xlfn.IFS(H445&lt;=5, "0-5", H445&lt;=10, "6-10", H445&lt;=15, "11-15", H445&lt;=20, "16-20", H445&gt;20, "21+")</f>
        <v>16-20</v>
      </c>
      <c r="J445">
        <v>50</v>
      </c>
      <c r="K445">
        <v>0</v>
      </c>
      <c r="L445" t="s">
        <v>2085</v>
      </c>
      <c r="M445" s="1">
        <v>0.84</v>
      </c>
    </row>
    <row r="446" spans="1:13" x14ac:dyDescent="0.3">
      <c r="A446" t="s">
        <v>964</v>
      </c>
      <c r="B446" t="s">
        <v>965</v>
      </c>
      <c r="C446" t="s">
        <v>73</v>
      </c>
      <c r="D446">
        <v>32</v>
      </c>
      <c r="E446" t="s">
        <v>119</v>
      </c>
      <c r="F446" t="s">
        <v>120</v>
      </c>
      <c r="G446" t="s">
        <v>74</v>
      </c>
      <c r="H446">
        <v>16</v>
      </c>
      <c r="I446" t="str" cm="1">
        <f t="array" ref="I446">_xlfn.IFS(H446&lt;=5, "0-5", H446&lt;=10, "6-10", H446&lt;=15, "11-15", H446&lt;=20, "16-20", H446&gt;20, "21+")</f>
        <v>16-20</v>
      </c>
      <c r="J446">
        <v>20</v>
      </c>
      <c r="L446" t="s">
        <v>2086</v>
      </c>
      <c r="M446" s="1">
        <v>0.92</v>
      </c>
    </row>
    <row r="447" spans="1:13" x14ac:dyDescent="0.3">
      <c r="A447" t="s">
        <v>966</v>
      </c>
      <c r="B447" t="s">
        <v>967</v>
      </c>
      <c r="C447" t="s">
        <v>93</v>
      </c>
      <c r="D447">
        <v>24</v>
      </c>
      <c r="E447" t="s">
        <v>134</v>
      </c>
      <c r="F447" t="s">
        <v>135</v>
      </c>
      <c r="G447" t="s">
        <v>85</v>
      </c>
      <c r="H447">
        <v>11</v>
      </c>
      <c r="I447" t="str" cm="1">
        <f t="array" ref="I447">_xlfn.IFS(H447&lt;=5, "0-5", H447&lt;=10, "6-10", H447&lt;=15, "11-15", H447&lt;=20, "16-20", H447&gt;20, "21+")</f>
        <v>11-15</v>
      </c>
      <c r="J447">
        <v>75</v>
      </c>
      <c r="K447">
        <v>4.3</v>
      </c>
      <c r="L447" t="s">
        <v>2086</v>
      </c>
    </row>
    <row r="448" spans="1:13" x14ac:dyDescent="0.3">
      <c r="A448" t="s">
        <v>968</v>
      </c>
      <c r="B448" t="s">
        <v>969</v>
      </c>
      <c r="C448" t="s">
        <v>93</v>
      </c>
      <c r="D448">
        <v>35</v>
      </c>
      <c r="E448" t="s">
        <v>63</v>
      </c>
      <c r="F448" t="s">
        <v>21</v>
      </c>
      <c r="G448" t="s">
        <v>42</v>
      </c>
      <c r="H448">
        <v>3</v>
      </c>
      <c r="I448" t="str" cm="1">
        <f t="array" ref="I448">_xlfn.IFS(H448&lt;=5, "0-5", H448&lt;=10, "6-10", H448&lt;=15, "11-15", H448&lt;=20, "16-20", H448&gt;20, "21+")</f>
        <v>0-5</v>
      </c>
      <c r="J448">
        <v>50</v>
      </c>
      <c r="L448" t="s">
        <v>2085</v>
      </c>
      <c r="M448" s="1">
        <v>0.9</v>
      </c>
    </row>
    <row r="449" spans="1:13" x14ac:dyDescent="0.3">
      <c r="A449" t="s">
        <v>970</v>
      </c>
      <c r="B449" t="s">
        <v>971</v>
      </c>
      <c r="C449" t="s">
        <v>73</v>
      </c>
      <c r="D449">
        <v>22</v>
      </c>
      <c r="E449" t="s">
        <v>20</v>
      </c>
      <c r="F449" t="s">
        <v>21</v>
      </c>
      <c r="G449" t="s">
        <v>22</v>
      </c>
      <c r="I449" t="str" cm="1">
        <f t="array" ref="I449">_xlfn.IFS(H449&lt;=5, "0-5", H449&lt;=10, "6-10", H449&lt;=15, "11-15", H449&lt;=20, "16-20", H449&gt;20, "21+")</f>
        <v>0-5</v>
      </c>
      <c r="J449">
        <v>20</v>
      </c>
      <c r="L449" t="s">
        <v>2085</v>
      </c>
      <c r="M449" s="1">
        <v>0.73</v>
      </c>
    </row>
    <row r="450" spans="1:13" x14ac:dyDescent="0.3">
      <c r="A450" t="s">
        <v>972</v>
      </c>
      <c r="B450" t="s">
        <v>973</v>
      </c>
      <c r="C450" t="s">
        <v>73</v>
      </c>
      <c r="D450">
        <v>55</v>
      </c>
      <c r="E450" t="s">
        <v>134</v>
      </c>
      <c r="F450" t="s">
        <v>135</v>
      </c>
      <c r="G450" t="s">
        <v>42</v>
      </c>
      <c r="H450">
        <v>3</v>
      </c>
      <c r="I450" t="str" cm="1">
        <f t="array" ref="I450">_xlfn.IFS(H450&lt;=5, "0-5", H450&lt;=10, "6-10", H450&lt;=15, "11-15", H450&lt;=20, "16-20", H450&gt;20, "21+")</f>
        <v>0-5</v>
      </c>
      <c r="J450">
        <v>100</v>
      </c>
      <c r="L450" t="s">
        <v>2086</v>
      </c>
      <c r="M450" s="1">
        <v>0.73</v>
      </c>
    </row>
    <row r="451" spans="1:13" x14ac:dyDescent="0.3">
      <c r="A451" t="s">
        <v>974</v>
      </c>
      <c r="B451" t="s">
        <v>975</v>
      </c>
      <c r="C451" t="s">
        <v>73</v>
      </c>
      <c r="D451">
        <v>54</v>
      </c>
      <c r="E451" t="s">
        <v>67</v>
      </c>
      <c r="F451" t="s">
        <v>68</v>
      </c>
      <c r="G451" t="s">
        <v>110</v>
      </c>
      <c r="H451">
        <v>1</v>
      </c>
      <c r="I451" t="str" cm="1">
        <f t="array" ref="I451">_xlfn.IFS(H451&lt;=5, "0-5", H451&lt;=10, "6-10", H451&lt;=15, "11-15", H451&lt;=20, "16-20", H451&gt;20, "21+")</f>
        <v>0-5</v>
      </c>
      <c r="J451">
        <v>30</v>
      </c>
      <c r="K451">
        <v>2.9</v>
      </c>
      <c r="L451" t="s">
        <v>2086</v>
      </c>
      <c r="M451" s="1">
        <v>0.78</v>
      </c>
    </row>
    <row r="452" spans="1:13" x14ac:dyDescent="0.3">
      <c r="A452" t="s">
        <v>976</v>
      </c>
      <c r="B452" t="s">
        <v>977</v>
      </c>
      <c r="C452" t="s">
        <v>73</v>
      </c>
      <c r="D452">
        <v>36</v>
      </c>
      <c r="E452" t="s">
        <v>40</v>
      </c>
      <c r="F452" t="s">
        <v>41</v>
      </c>
      <c r="G452" t="s">
        <v>74</v>
      </c>
      <c r="H452">
        <v>1</v>
      </c>
      <c r="I452" t="str" cm="1">
        <f t="array" ref="I452">_xlfn.IFS(H452&lt;=5, "0-5", H452&lt;=10, "6-10", H452&lt;=15, "11-15", H452&lt;=20, "16-20", H452&gt;20, "21+")</f>
        <v>0-5</v>
      </c>
      <c r="J452">
        <v>30</v>
      </c>
      <c r="K452">
        <v>0</v>
      </c>
      <c r="L452" t="s">
        <v>2086</v>
      </c>
      <c r="M452" s="1">
        <v>0.63</v>
      </c>
    </row>
    <row r="453" spans="1:13" x14ac:dyDescent="0.3">
      <c r="A453" t="s">
        <v>978</v>
      </c>
      <c r="B453" t="s">
        <v>979</v>
      </c>
      <c r="C453" t="s">
        <v>73</v>
      </c>
      <c r="D453">
        <v>36</v>
      </c>
      <c r="E453" t="s">
        <v>40</v>
      </c>
      <c r="F453" t="s">
        <v>41</v>
      </c>
      <c r="G453" t="s">
        <v>42</v>
      </c>
      <c r="H453">
        <v>35</v>
      </c>
      <c r="I453" t="str" cm="1">
        <f t="array" ref="I453">_xlfn.IFS(H453&lt;=5, "0-5", H453&lt;=10, "6-10", H453&lt;=15, "11-15", H453&lt;=20, "16-20", H453&gt;20, "21+")</f>
        <v>21+</v>
      </c>
      <c r="J453">
        <v>50</v>
      </c>
      <c r="K453">
        <v>1.3</v>
      </c>
      <c r="M453" s="1">
        <v>0.64</v>
      </c>
    </row>
    <row r="454" spans="1:13" x14ac:dyDescent="0.3">
      <c r="A454" t="s">
        <v>980</v>
      </c>
      <c r="B454" t="s">
        <v>2099</v>
      </c>
      <c r="C454" t="s">
        <v>73</v>
      </c>
      <c r="D454">
        <v>25</v>
      </c>
      <c r="E454" t="s">
        <v>67</v>
      </c>
      <c r="F454" t="s">
        <v>68</v>
      </c>
      <c r="G454" t="s">
        <v>34</v>
      </c>
      <c r="H454">
        <v>12</v>
      </c>
      <c r="I454" t="str" cm="1">
        <f t="array" ref="I454">_xlfn.IFS(H454&lt;=5, "0-5", H454&lt;=10, "6-10", H454&lt;=15, "11-15", H454&lt;=20, "16-20", H454&gt;20, "21+")</f>
        <v>11-15</v>
      </c>
      <c r="J454">
        <v>75</v>
      </c>
      <c r="K454">
        <v>0</v>
      </c>
      <c r="L454" t="s">
        <v>2086</v>
      </c>
    </row>
    <row r="455" spans="1:13" x14ac:dyDescent="0.3">
      <c r="A455" t="s">
        <v>982</v>
      </c>
      <c r="B455" t="s">
        <v>983</v>
      </c>
      <c r="C455" t="s">
        <v>93</v>
      </c>
      <c r="D455">
        <v>46</v>
      </c>
      <c r="E455" t="s">
        <v>46</v>
      </c>
      <c r="F455" t="s">
        <v>47</v>
      </c>
      <c r="G455" t="s">
        <v>42</v>
      </c>
      <c r="H455">
        <v>8</v>
      </c>
      <c r="I455" t="str" cm="1">
        <f t="array" ref="I455">_xlfn.IFS(H455&lt;=5, "0-5", H455&lt;=10, "6-10", H455&lt;=15, "11-15", H455&lt;=20, "16-20", H455&gt;20, "21+")</f>
        <v>6-10</v>
      </c>
      <c r="J455">
        <v>20</v>
      </c>
      <c r="K455">
        <v>4.8</v>
      </c>
      <c r="L455" t="s">
        <v>2086</v>
      </c>
      <c r="M455" s="1">
        <v>0.86</v>
      </c>
    </row>
    <row r="456" spans="1:13" x14ac:dyDescent="0.3">
      <c r="A456" t="s">
        <v>984</v>
      </c>
      <c r="B456" t="s">
        <v>2100</v>
      </c>
      <c r="C456" t="s">
        <v>93</v>
      </c>
      <c r="D456">
        <v>41</v>
      </c>
      <c r="E456" t="s">
        <v>67</v>
      </c>
      <c r="F456" t="s">
        <v>68</v>
      </c>
      <c r="G456" t="s">
        <v>110</v>
      </c>
      <c r="H456">
        <v>13</v>
      </c>
      <c r="I456" t="str" cm="1">
        <f t="array" ref="I456">_xlfn.IFS(H456&lt;=5, "0-5", H456&lt;=10, "6-10", H456&lt;=15, "11-15", H456&lt;=20, "16-20", H456&gt;20, "21+")</f>
        <v>11-15</v>
      </c>
      <c r="J456">
        <v>40</v>
      </c>
      <c r="K456">
        <v>2.4</v>
      </c>
      <c r="L456" t="s">
        <v>2085</v>
      </c>
    </row>
    <row r="457" spans="1:13" x14ac:dyDescent="0.3">
      <c r="A457" t="s">
        <v>986</v>
      </c>
      <c r="B457" t="s">
        <v>987</v>
      </c>
      <c r="C457" t="s">
        <v>73</v>
      </c>
      <c r="D457">
        <v>21</v>
      </c>
      <c r="E457" t="s">
        <v>119</v>
      </c>
      <c r="F457" t="s">
        <v>120</v>
      </c>
      <c r="G457" t="s">
        <v>22</v>
      </c>
      <c r="H457">
        <v>0</v>
      </c>
      <c r="I457" t="str" cm="1">
        <f t="array" ref="I457">_xlfn.IFS(H457&lt;=5, "0-5", H457&lt;=10, "6-10", H457&lt;=15, "11-15", H457&lt;=20, "16-20", H457&gt;20, "21+")</f>
        <v>0-5</v>
      </c>
      <c r="J457">
        <v>100</v>
      </c>
      <c r="K457">
        <v>4.7</v>
      </c>
      <c r="L457" t="s">
        <v>2085</v>
      </c>
      <c r="M457" s="1">
        <v>0.96</v>
      </c>
    </row>
    <row r="458" spans="1:13" x14ac:dyDescent="0.3">
      <c r="A458" t="s">
        <v>988</v>
      </c>
      <c r="B458" t="s">
        <v>989</v>
      </c>
      <c r="C458" t="s">
        <v>93</v>
      </c>
      <c r="D458">
        <v>29</v>
      </c>
      <c r="E458" t="s">
        <v>55</v>
      </c>
      <c r="F458" t="s">
        <v>21</v>
      </c>
      <c r="G458" t="s">
        <v>29</v>
      </c>
      <c r="H458">
        <v>11</v>
      </c>
      <c r="I458" t="str" cm="1">
        <f t="array" ref="I458">_xlfn.IFS(H458&lt;=5, "0-5", H458&lt;=10, "6-10", H458&lt;=15, "11-15", H458&lt;=20, "16-20", H458&gt;20, "21+")</f>
        <v>11-15</v>
      </c>
      <c r="J458">
        <v>75</v>
      </c>
      <c r="K458">
        <v>2</v>
      </c>
      <c r="L458" t="s">
        <v>2085</v>
      </c>
    </row>
    <row r="459" spans="1:13" x14ac:dyDescent="0.3">
      <c r="A459" t="s">
        <v>990</v>
      </c>
      <c r="B459" t="s">
        <v>991</v>
      </c>
      <c r="C459" t="s">
        <v>73</v>
      </c>
      <c r="D459">
        <v>44</v>
      </c>
      <c r="E459" t="s">
        <v>55</v>
      </c>
      <c r="F459" t="s">
        <v>21</v>
      </c>
      <c r="G459" t="s">
        <v>22</v>
      </c>
      <c r="H459">
        <v>19</v>
      </c>
      <c r="I459" t="str" cm="1">
        <f t="array" ref="I459">_xlfn.IFS(H459&lt;=5, "0-5", H459&lt;=10, "6-10", H459&lt;=15, "11-15", H459&lt;=20, "16-20", H459&gt;20, "21+")</f>
        <v>16-20</v>
      </c>
      <c r="J459">
        <v>50</v>
      </c>
      <c r="K459">
        <v>2.2000000000000002</v>
      </c>
      <c r="L459" t="s">
        <v>2085</v>
      </c>
      <c r="M459" s="1">
        <v>0.77</v>
      </c>
    </row>
    <row r="460" spans="1:13" x14ac:dyDescent="0.3">
      <c r="A460" t="s">
        <v>992</v>
      </c>
      <c r="B460" t="s">
        <v>993</v>
      </c>
      <c r="C460" t="s">
        <v>93</v>
      </c>
      <c r="D460">
        <v>40</v>
      </c>
      <c r="E460" t="s">
        <v>123</v>
      </c>
      <c r="F460" t="s">
        <v>21</v>
      </c>
      <c r="G460" t="s">
        <v>110</v>
      </c>
      <c r="H460">
        <v>30</v>
      </c>
      <c r="I460" t="str" cm="1">
        <f t="array" ref="I460">_xlfn.IFS(H460&lt;=5, "0-5", H460&lt;=10, "6-10", H460&lt;=15, "11-15", H460&lt;=20, "16-20", H460&gt;20, "21+")</f>
        <v>21+</v>
      </c>
      <c r="J460">
        <v>100</v>
      </c>
      <c r="K460">
        <v>2.1</v>
      </c>
      <c r="L460" t="s">
        <v>2086</v>
      </c>
    </row>
    <row r="461" spans="1:13" x14ac:dyDescent="0.3">
      <c r="A461" t="s">
        <v>994</v>
      </c>
      <c r="B461" t="s">
        <v>995</v>
      </c>
      <c r="C461" t="s">
        <v>73</v>
      </c>
      <c r="D461">
        <v>27</v>
      </c>
      <c r="E461" t="s">
        <v>134</v>
      </c>
      <c r="F461" t="s">
        <v>135</v>
      </c>
      <c r="G461" t="s">
        <v>48</v>
      </c>
      <c r="H461">
        <v>8</v>
      </c>
      <c r="I461" t="str" cm="1">
        <f t="array" ref="I461">_xlfn.IFS(H461&lt;=5, "0-5", H461&lt;=10, "6-10", H461&lt;=15, "11-15", H461&lt;=20, "16-20", H461&gt;20, "21+")</f>
        <v>6-10</v>
      </c>
      <c r="J461">
        <v>30</v>
      </c>
      <c r="K461">
        <v>1.7</v>
      </c>
      <c r="L461" t="s">
        <v>2085</v>
      </c>
      <c r="M461" s="1">
        <v>0.65</v>
      </c>
    </row>
    <row r="462" spans="1:13" x14ac:dyDescent="0.3">
      <c r="A462" t="s">
        <v>996</v>
      </c>
      <c r="B462" t="s">
        <v>997</v>
      </c>
      <c r="C462" t="s">
        <v>93</v>
      </c>
      <c r="D462">
        <v>53</v>
      </c>
      <c r="E462" t="s">
        <v>130</v>
      </c>
      <c r="F462" t="s">
        <v>131</v>
      </c>
      <c r="G462" t="s">
        <v>22</v>
      </c>
      <c r="H462">
        <v>0</v>
      </c>
      <c r="I462" t="str" cm="1">
        <f t="array" ref="I462">_xlfn.IFS(H462&lt;=5, "0-5", H462&lt;=10, "6-10", H462&lt;=15, "11-15", H462&lt;=20, "16-20", H462&gt;20, "21+")</f>
        <v>0-5</v>
      </c>
      <c r="K462">
        <v>5</v>
      </c>
      <c r="L462" t="s">
        <v>2086</v>
      </c>
      <c r="M462" s="1">
        <v>0.62</v>
      </c>
    </row>
    <row r="463" spans="1:13" x14ac:dyDescent="0.3">
      <c r="A463" t="s">
        <v>998</v>
      </c>
      <c r="B463" t="s">
        <v>2101</v>
      </c>
      <c r="C463" t="s">
        <v>93</v>
      </c>
      <c r="D463">
        <v>20</v>
      </c>
      <c r="E463" t="s">
        <v>59</v>
      </c>
      <c r="F463" t="s">
        <v>60</v>
      </c>
      <c r="G463" t="s">
        <v>48</v>
      </c>
      <c r="H463">
        <v>7</v>
      </c>
      <c r="I463" t="str" cm="1">
        <f t="array" ref="I463">_xlfn.IFS(H463&lt;=5, "0-5", H463&lt;=10, "6-10", H463&lt;=15, "11-15", H463&lt;=20, "16-20", H463&gt;20, "21+")</f>
        <v>6-10</v>
      </c>
      <c r="J463">
        <v>50</v>
      </c>
      <c r="K463">
        <v>2.9</v>
      </c>
      <c r="L463" t="s">
        <v>2085</v>
      </c>
      <c r="M463" s="1">
        <v>0.81</v>
      </c>
    </row>
    <row r="464" spans="1:13" x14ac:dyDescent="0.3">
      <c r="A464" t="s">
        <v>1000</v>
      </c>
      <c r="B464" t="s">
        <v>1001</v>
      </c>
      <c r="C464" t="s">
        <v>73</v>
      </c>
      <c r="E464" t="s">
        <v>81</v>
      </c>
      <c r="F464" t="s">
        <v>82</v>
      </c>
      <c r="G464" t="s">
        <v>85</v>
      </c>
      <c r="H464">
        <v>11</v>
      </c>
      <c r="I464" t="str" cm="1">
        <f t="array" ref="I464">_xlfn.IFS(H464&lt;=5, "0-5", H464&lt;=10, "6-10", H464&lt;=15, "11-15", H464&lt;=20, "16-20", H464&gt;20, "21+")</f>
        <v>11-15</v>
      </c>
      <c r="J464">
        <v>50</v>
      </c>
      <c r="K464">
        <v>4.0999999999999996</v>
      </c>
      <c r="L464" t="s">
        <v>2086</v>
      </c>
      <c r="M464" s="1">
        <v>0.62</v>
      </c>
    </row>
    <row r="465" spans="1:13" x14ac:dyDescent="0.3">
      <c r="A465" t="s">
        <v>1002</v>
      </c>
      <c r="B465" t="s">
        <v>1003</v>
      </c>
      <c r="C465" t="s">
        <v>93</v>
      </c>
      <c r="D465">
        <v>26</v>
      </c>
      <c r="E465" t="s">
        <v>173</v>
      </c>
      <c r="F465" t="s">
        <v>68</v>
      </c>
      <c r="G465" t="s">
        <v>34</v>
      </c>
      <c r="I465" t="str" cm="1">
        <f t="array" ref="I465">_xlfn.IFS(H465&lt;=5, "0-5", H465&lt;=10, "6-10", H465&lt;=15, "11-15", H465&lt;=20, "16-20", H465&gt;20, "21+")</f>
        <v>0-5</v>
      </c>
      <c r="J465">
        <v>40</v>
      </c>
      <c r="K465">
        <v>4.9000000000000004</v>
      </c>
      <c r="L465" t="s">
        <v>2085</v>
      </c>
      <c r="M465" s="1">
        <v>0.87</v>
      </c>
    </row>
    <row r="466" spans="1:13" x14ac:dyDescent="0.3">
      <c r="A466" t="s">
        <v>1004</v>
      </c>
      <c r="B466" t="s">
        <v>1005</v>
      </c>
      <c r="C466" t="s">
        <v>73</v>
      </c>
      <c r="D466">
        <v>49</v>
      </c>
      <c r="E466" t="s">
        <v>103</v>
      </c>
      <c r="F466" t="s">
        <v>104</v>
      </c>
      <c r="G466" t="s">
        <v>110</v>
      </c>
      <c r="H466">
        <v>14</v>
      </c>
      <c r="I466" t="str" cm="1">
        <f t="array" ref="I466">_xlfn.IFS(H466&lt;=5, "0-5", H466&lt;=10, "6-10", H466&lt;=15, "11-15", H466&lt;=20, "16-20", H466&gt;20, "21+")</f>
        <v>11-15</v>
      </c>
      <c r="J466">
        <v>100</v>
      </c>
      <c r="K466">
        <v>2.5</v>
      </c>
      <c r="L466" t="s">
        <v>2085</v>
      </c>
    </row>
    <row r="467" spans="1:13" x14ac:dyDescent="0.3">
      <c r="A467" t="s">
        <v>1006</v>
      </c>
      <c r="B467" t="s">
        <v>1007</v>
      </c>
      <c r="C467" t="s">
        <v>73</v>
      </c>
      <c r="D467">
        <v>20</v>
      </c>
      <c r="E467" t="s">
        <v>134</v>
      </c>
      <c r="F467" t="s">
        <v>135</v>
      </c>
      <c r="G467" t="s">
        <v>48</v>
      </c>
      <c r="H467">
        <v>11</v>
      </c>
      <c r="I467" t="str" cm="1">
        <f t="array" ref="I467">_xlfn.IFS(H467&lt;=5, "0-5", H467&lt;=10, "6-10", H467&lt;=15, "11-15", H467&lt;=20, "16-20", H467&gt;20, "21+")</f>
        <v>11-15</v>
      </c>
      <c r="J467">
        <v>30</v>
      </c>
      <c r="K467">
        <v>0</v>
      </c>
      <c r="L467" t="s">
        <v>2086</v>
      </c>
      <c r="M467" s="1">
        <v>0.76</v>
      </c>
    </row>
    <row r="468" spans="1:13" x14ac:dyDescent="0.3">
      <c r="A468" t="s">
        <v>1008</v>
      </c>
      <c r="B468" t="s">
        <v>1009</v>
      </c>
      <c r="C468" t="s">
        <v>73</v>
      </c>
      <c r="D468">
        <v>39</v>
      </c>
      <c r="E468" t="s">
        <v>169</v>
      </c>
      <c r="F468" t="s">
        <v>170</v>
      </c>
      <c r="G468" t="s">
        <v>16</v>
      </c>
      <c r="H468">
        <v>31</v>
      </c>
      <c r="I468" t="str" cm="1">
        <f t="array" ref="I468">_xlfn.IFS(H468&lt;=5, "0-5", H468&lt;=10, "6-10", H468&lt;=15, "11-15", H468&lt;=20, "16-20", H468&gt;20, "21+")</f>
        <v>21+</v>
      </c>
      <c r="J468">
        <v>100</v>
      </c>
      <c r="K468">
        <v>2.8</v>
      </c>
      <c r="M468" s="1">
        <v>0.7</v>
      </c>
    </row>
    <row r="469" spans="1:13" x14ac:dyDescent="0.3">
      <c r="A469" t="s">
        <v>1010</v>
      </c>
      <c r="B469" t="s">
        <v>1011</v>
      </c>
      <c r="C469" t="s">
        <v>73</v>
      </c>
      <c r="D469">
        <v>41</v>
      </c>
      <c r="E469" t="s">
        <v>169</v>
      </c>
      <c r="F469" t="s">
        <v>170</v>
      </c>
      <c r="G469" t="s">
        <v>110</v>
      </c>
      <c r="H469">
        <v>16</v>
      </c>
      <c r="I469" t="str" cm="1">
        <f t="array" ref="I469">_xlfn.IFS(H469&lt;=5, "0-5", H469&lt;=10, "6-10", H469&lt;=15, "11-15", H469&lt;=20, "16-20", H469&gt;20, "21+")</f>
        <v>16-20</v>
      </c>
      <c r="J469">
        <v>100</v>
      </c>
      <c r="K469">
        <v>3.8</v>
      </c>
      <c r="L469" t="s">
        <v>2086</v>
      </c>
      <c r="M469" s="1">
        <v>0.71</v>
      </c>
    </row>
    <row r="470" spans="1:13" x14ac:dyDescent="0.3">
      <c r="A470" t="s">
        <v>1012</v>
      </c>
      <c r="B470" t="s">
        <v>1013</v>
      </c>
      <c r="C470" t="s">
        <v>93</v>
      </c>
      <c r="D470">
        <v>59</v>
      </c>
      <c r="E470" t="s">
        <v>123</v>
      </c>
      <c r="F470" t="s">
        <v>21</v>
      </c>
      <c r="G470" t="s">
        <v>22</v>
      </c>
      <c r="H470">
        <v>6</v>
      </c>
      <c r="I470" t="str" cm="1">
        <f t="array" ref="I470">_xlfn.IFS(H470&lt;=5, "0-5", H470&lt;=10, "6-10", H470&lt;=15, "11-15", H470&lt;=20, "16-20", H470&gt;20, "21+")</f>
        <v>6-10</v>
      </c>
      <c r="J470">
        <v>30</v>
      </c>
      <c r="K470">
        <v>4.3</v>
      </c>
      <c r="L470" t="s">
        <v>2086</v>
      </c>
      <c r="M470" s="1">
        <v>0.83</v>
      </c>
    </row>
    <row r="471" spans="1:13" x14ac:dyDescent="0.3">
      <c r="A471" t="s">
        <v>1014</v>
      </c>
      <c r="B471" t="s">
        <v>1015</v>
      </c>
      <c r="C471" t="s">
        <v>73</v>
      </c>
      <c r="D471">
        <v>45</v>
      </c>
      <c r="E471" t="s">
        <v>20</v>
      </c>
      <c r="F471" t="s">
        <v>21</v>
      </c>
      <c r="G471" t="s">
        <v>16</v>
      </c>
      <c r="H471">
        <v>21</v>
      </c>
      <c r="I471" t="str" cm="1">
        <f t="array" ref="I471">_xlfn.IFS(H471&lt;=5, "0-5", H471&lt;=10, "6-10", H471&lt;=15, "11-15", H471&lt;=20, "16-20", H471&gt;20, "21+")</f>
        <v>21+</v>
      </c>
      <c r="J471">
        <v>40</v>
      </c>
      <c r="K471">
        <v>0</v>
      </c>
      <c r="L471" t="s">
        <v>2085</v>
      </c>
      <c r="M471" s="1">
        <v>0.78</v>
      </c>
    </row>
    <row r="472" spans="1:13" x14ac:dyDescent="0.3">
      <c r="A472" t="s">
        <v>1016</v>
      </c>
      <c r="B472" t="s">
        <v>1017</v>
      </c>
      <c r="C472" t="s">
        <v>93</v>
      </c>
      <c r="D472">
        <v>22</v>
      </c>
      <c r="E472" t="s">
        <v>46</v>
      </c>
      <c r="F472" t="s">
        <v>47</v>
      </c>
      <c r="G472" t="s">
        <v>74</v>
      </c>
      <c r="H472">
        <v>13</v>
      </c>
      <c r="I472" t="str" cm="1">
        <f t="array" ref="I472">_xlfn.IFS(H472&lt;=5, "0-5", H472&lt;=10, "6-10", H472&lt;=15, "11-15", H472&lt;=20, "16-20", H472&gt;20, "21+")</f>
        <v>11-15</v>
      </c>
      <c r="J472">
        <v>40</v>
      </c>
      <c r="K472">
        <v>1.3</v>
      </c>
      <c r="L472" t="s">
        <v>2086</v>
      </c>
      <c r="M472" s="1">
        <v>0.78</v>
      </c>
    </row>
    <row r="473" spans="1:13" x14ac:dyDescent="0.3">
      <c r="A473" t="s">
        <v>1018</v>
      </c>
      <c r="B473" t="s">
        <v>1019</v>
      </c>
      <c r="C473" t="s">
        <v>73</v>
      </c>
      <c r="D473">
        <v>48</v>
      </c>
      <c r="E473" t="s">
        <v>89</v>
      </c>
      <c r="F473" t="s">
        <v>90</v>
      </c>
      <c r="G473" t="s">
        <v>22</v>
      </c>
      <c r="I473" t="str" cm="1">
        <f t="array" ref="I473">_xlfn.IFS(H473&lt;=5, "0-5", H473&lt;=10, "6-10", H473&lt;=15, "11-15", H473&lt;=20, "16-20", H473&gt;20, "21+")</f>
        <v>0-5</v>
      </c>
      <c r="J473">
        <v>50</v>
      </c>
      <c r="K473">
        <v>4.7</v>
      </c>
      <c r="L473" t="s">
        <v>2086</v>
      </c>
      <c r="M473" s="1">
        <v>0.6</v>
      </c>
    </row>
    <row r="474" spans="1:13" x14ac:dyDescent="0.3">
      <c r="A474" t="s">
        <v>1020</v>
      </c>
      <c r="B474" t="s">
        <v>1021</v>
      </c>
      <c r="C474" t="s">
        <v>93</v>
      </c>
      <c r="D474">
        <v>36</v>
      </c>
      <c r="E474" t="s">
        <v>130</v>
      </c>
      <c r="F474" t="s">
        <v>131</v>
      </c>
      <c r="G474" t="s">
        <v>16</v>
      </c>
      <c r="H474">
        <v>11</v>
      </c>
      <c r="I474" t="str" cm="1">
        <f t="array" ref="I474">_xlfn.IFS(H474&lt;=5, "0-5", H474&lt;=10, "6-10", H474&lt;=15, "11-15", H474&lt;=20, "16-20", H474&gt;20, "21+")</f>
        <v>11-15</v>
      </c>
      <c r="J474">
        <v>40</v>
      </c>
      <c r="K474">
        <v>1.3</v>
      </c>
      <c r="L474" t="s">
        <v>2086</v>
      </c>
    </row>
    <row r="475" spans="1:13" x14ac:dyDescent="0.3">
      <c r="A475" t="s">
        <v>1022</v>
      </c>
      <c r="B475" t="s">
        <v>1023</v>
      </c>
      <c r="C475" t="s">
        <v>73</v>
      </c>
      <c r="D475">
        <v>57</v>
      </c>
      <c r="E475" t="s">
        <v>169</v>
      </c>
      <c r="F475" t="s">
        <v>170</v>
      </c>
      <c r="G475" t="s">
        <v>16</v>
      </c>
      <c r="H475">
        <v>0</v>
      </c>
      <c r="I475" t="str" cm="1">
        <f t="array" ref="I475">_xlfn.IFS(H475&lt;=5, "0-5", H475&lt;=10, "6-10", H475&lt;=15, "11-15", H475&lt;=20, "16-20", H475&gt;20, "21+")</f>
        <v>0-5</v>
      </c>
      <c r="J475">
        <v>75</v>
      </c>
      <c r="K475">
        <v>4.8</v>
      </c>
      <c r="L475" t="s">
        <v>2086</v>
      </c>
    </row>
    <row r="476" spans="1:13" x14ac:dyDescent="0.3">
      <c r="A476" t="s">
        <v>1024</v>
      </c>
      <c r="B476" t="s">
        <v>1025</v>
      </c>
      <c r="C476" t="s">
        <v>93</v>
      </c>
      <c r="D476">
        <v>42</v>
      </c>
      <c r="E476" t="s">
        <v>55</v>
      </c>
      <c r="F476" t="s">
        <v>21</v>
      </c>
      <c r="G476" t="s">
        <v>69</v>
      </c>
      <c r="H476">
        <v>2</v>
      </c>
      <c r="I476" t="str" cm="1">
        <f t="array" ref="I476">_xlfn.IFS(H476&lt;=5, "0-5", H476&lt;=10, "6-10", H476&lt;=15, "11-15", H476&lt;=20, "16-20", H476&gt;20, "21+")</f>
        <v>0-5</v>
      </c>
      <c r="J476">
        <v>30</v>
      </c>
      <c r="K476">
        <v>1.3</v>
      </c>
      <c r="L476" t="s">
        <v>2085</v>
      </c>
      <c r="M476" s="1">
        <v>0.94</v>
      </c>
    </row>
    <row r="477" spans="1:13" x14ac:dyDescent="0.3">
      <c r="A477" t="s">
        <v>1026</v>
      </c>
      <c r="B477" t="s">
        <v>1027</v>
      </c>
      <c r="C477" t="s">
        <v>93</v>
      </c>
      <c r="D477">
        <v>31</v>
      </c>
      <c r="E477" t="s">
        <v>46</v>
      </c>
      <c r="F477" t="s">
        <v>47</v>
      </c>
      <c r="G477" t="s">
        <v>74</v>
      </c>
      <c r="H477">
        <v>12</v>
      </c>
      <c r="I477" t="str" cm="1">
        <f t="array" ref="I477">_xlfn.IFS(H477&lt;=5, "0-5", H477&lt;=10, "6-10", H477&lt;=15, "11-15", H477&lt;=20, "16-20", H477&gt;20, "21+")</f>
        <v>11-15</v>
      </c>
      <c r="J477">
        <v>50</v>
      </c>
      <c r="K477">
        <v>4.3</v>
      </c>
      <c r="L477" t="s">
        <v>2085</v>
      </c>
      <c r="M477" s="1">
        <v>0.62</v>
      </c>
    </row>
    <row r="478" spans="1:13" x14ac:dyDescent="0.3">
      <c r="A478" t="s">
        <v>1028</v>
      </c>
      <c r="B478" t="s">
        <v>1029</v>
      </c>
      <c r="C478" t="s">
        <v>93</v>
      </c>
      <c r="D478">
        <v>52</v>
      </c>
      <c r="E478" t="s">
        <v>184</v>
      </c>
      <c r="F478" t="s">
        <v>68</v>
      </c>
      <c r="G478" t="s">
        <v>74</v>
      </c>
      <c r="H478">
        <v>13</v>
      </c>
      <c r="I478" t="str" cm="1">
        <f t="array" ref="I478">_xlfn.IFS(H478&lt;=5, "0-5", H478&lt;=10, "6-10", H478&lt;=15, "11-15", H478&lt;=20, "16-20", H478&gt;20, "21+")</f>
        <v>11-15</v>
      </c>
      <c r="J478">
        <v>30</v>
      </c>
      <c r="L478" t="s">
        <v>2086</v>
      </c>
    </row>
    <row r="479" spans="1:13" x14ac:dyDescent="0.3">
      <c r="A479" t="s">
        <v>1030</v>
      </c>
      <c r="B479" t="s">
        <v>1031</v>
      </c>
      <c r="C479" t="s">
        <v>93</v>
      </c>
      <c r="D479">
        <v>56</v>
      </c>
      <c r="E479" t="s">
        <v>40</v>
      </c>
      <c r="F479" t="s">
        <v>41</v>
      </c>
      <c r="G479" t="s">
        <v>85</v>
      </c>
      <c r="H479">
        <v>6</v>
      </c>
      <c r="I479" t="str" cm="1">
        <f t="array" ref="I479">_xlfn.IFS(H479&lt;=5, "0-5", H479&lt;=10, "6-10", H479&lt;=15, "11-15", H479&lt;=20, "16-20", H479&gt;20, "21+")</f>
        <v>6-10</v>
      </c>
      <c r="J479">
        <v>30</v>
      </c>
      <c r="K479">
        <v>0</v>
      </c>
      <c r="L479" t="s">
        <v>2086</v>
      </c>
    </row>
    <row r="480" spans="1:13" x14ac:dyDescent="0.3">
      <c r="A480" t="s">
        <v>1032</v>
      </c>
      <c r="B480" t="s">
        <v>1033</v>
      </c>
      <c r="C480" t="s">
        <v>73</v>
      </c>
      <c r="D480">
        <v>24</v>
      </c>
      <c r="E480" t="s">
        <v>40</v>
      </c>
      <c r="F480" t="s">
        <v>41</v>
      </c>
      <c r="G480" t="s">
        <v>85</v>
      </c>
      <c r="H480">
        <v>10</v>
      </c>
      <c r="I480" t="str" cm="1">
        <f t="array" ref="I480">_xlfn.IFS(H480&lt;=5, "0-5", H480&lt;=10, "6-10", H480&lt;=15, "11-15", H480&lt;=20, "16-20", H480&gt;20, "21+")</f>
        <v>6-10</v>
      </c>
      <c r="J480">
        <v>30</v>
      </c>
      <c r="K480">
        <v>0</v>
      </c>
      <c r="L480" t="s">
        <v>2086</v>
      </c>
      <c r="M480" s="1">
        <v>0.84</v>
      </c>
    </row>
    <row r="481" spans="1:13" x14ac:dyDescent="0.3">
      <c r="A481" t="s">
        <v>1034</v>
      </c>
      <c r="B481" t="s">
        <v>1035</v>
      </c>
      <c r="C481" t="s">
        <v>93</v>
      </c>
      <c r="D481">
        <v>48</v>
      </c>
      <c r="E481" t="s">
        <v>123</v>
      </c>
      <c r="F481" t="s">
        <v>21</v>
      </c>
      <c r="G481" t="s">
        <v>85</v>
      </c>
      <c r="H481">
        <v>2</v>
      </c>
      <c r="I481" t="str" cm="1">
        <f t="array" ref="I481">_xlfn.IFS(H481&lt;=5, "0-5", H481&lt;=10, "6-10", H481&lt;=15, "11-15", H481&lt;=20, "16-20", H481&gt;20, "21+")</f>
        <v>0-5</v>
      </c>
      <c r="J481">
        <v>75</v>
      </c>
      <c r="K481">
        <v>2.7</v>
      </c>
      <c r="L481" t="s">
        <v>2086</v>
      </c>
    </row>
    <row r="482" spans="1:13" x14ac:dyDescent="0.3">
      <c r="A482" t="s">
        <v>1036</v>
      </c>
      <c r="B482" t="s">
        <v>1037</v>
      </c>
      <c r="C482" t="s">
        <v>93</v>
      </c>
      <c r="D482">
        <v>59</v>
      </c>
      <c r="E482" t="s">
        <v>130</v>
      </c>
      <c r="F482" t="s">
        <v>131</v>
      </c>
      <c r="G482" t="s">
        <v>74</v>
      </c>
      <c r="H482">
        <v>4</v>
      </c>
      <c r="I482" t="str" cm="1">
        <f t="array" ref="I482">_xlfn.IFS(H482&lt;=5, "0-5", H482&lt;=10, "6-10", H482&lt;=15, "11-15", H482&lt;=20, "16-20", H482&gt;20, "21+")</f>
        <v>0-5</v>
      </c>
      <c r="J482">
        <v>40</v>
      </c>
      <c r="K482">
        <v>2.4</v>
      </c>
      <c r="L482" t="s">
        <v>2085</v>
      </c>
      <c r="M482" s="1">
        <v>0.65</v>
      </c>
    </row>
    <row r="483" spans="1:13" x14ac:dyDescent="0.3">
      <c r="A483" t="s">
        <v>1038</v>
      </c>
      <c r="B483" t="s">
        <v>1039</v>
      </c>
      <c r="C483" t="s">
        <v>93</v>
      </c>
      <c r="E483" t="s">
        <v>63</v>
      </c>
      <c r="F483" t="s">
        <v>21</v>
      </c>
      <c r="G483" t="s">
        <v>34</v>
      </c>
      <c r="H483">
        <v>11</v>
      </c>
      <c r="I483" t="str" cm="1">
        <f t="array" ref="I483">_xlfn.IFS(H483&lt;=5, "0-5", H483&lt;=10, "6-10", H483&lt;=15, "11-15", H483&lt;=20, "16-20", H483&gt;20, "21+")</f>
        <v>11-15</v>
      </c>
      <c r="J483">
        <v>40</v>
      </c>
      <c r="K483">
        <v>1.9</v>
      </c>
      <c r="L483" t="s">
        <v>2086</v>
      </c>
      <c r="M483" s="1">
        <v>0.94</v>
      </c>
    </row>
    <row r="484" spans="1:13" x14ac:dyDescent="0.3">
      <c r="A484" t="s">
        <v>1040</v>
      </c>
      <c r="B484" t="s">
        <v>1041</v>
      </c>
      <c r="C484" t="s">
        <v>73</v>
      </c>
      <c r="E484" t="s">
        <v>40</v>
      </c>
      <c r="F484" t="s">
        <v>41</v>
      </c>
      <c r="G484" t="s">
        <v>22</v>
      </c>
      <c r="H484">
        <v>14</v>
      </c>
      <c r="I484" t="str" cm="1">
        <f t="array" ref="I484">_xlfn.IFS(H484&lt;=5, "0-5", H484&lt;=10, "6-10", H484&lt;=15, "11-15", H484&lt;=20, "16-20", H484&gt;20, "21+")</f>
        <v>11-15</v>
      </c>
      <c r="J484">
        <v>20</v>
      </c>
      <c r="K484">
        <v>3.6</v>
      </c>
      <c r="L484" t="s">
        <v>2085</v>
      </c>
      <c r="M484" s="1">
        <v>0.69</v>
      </c>
    </row>
    <row r="485" spans="1:13" x14ac:dyDescent="0.3">
      <c r="A485" t="s">
        <v>1042</v>
      </c>
      <c r="B485" t="s">
        <v>1043</v>
      </c>
      <c r="C485" t="s">
        <v>93</v>
      </c>
      <c r="D485">
        <v>25</v>
      </c>
      <c r="E485" t="s">
        <v>40</v>
      </c>
      <c r="F485" t="s">
        <v>41</v>
      </c>
      <c r="G485" t="s">
        <v>22</v>
      </c>
      <c r="H485">
        <v>10</v>
      </c>
      <c r="I485" t="str" cm="1">
        <f t="array" ref="I485">_xlfn.IFS(H485&lt;=5, "0-5", H485&lt;=10, "6-10", H485&lt;=15, "11-15", H485&lt;=20, "16-20", H485&gt;20, "21+")</f>
        <v>6-10</v>
      </c>
      <c r="J485">
        <v>50</v>
      </c>
      <c r="K485">
        <v>2.9</v>
      </c>
      <c r="L485" t="s">
        <v>2086</v>
      </c>
      <c r="M485" s="1">
        <v>0.65</v>
      </c>
    </row>
    <row r="486" spans="1:13" x14ac:dyDescent="0.3">
      <c r="A486" t="s">
        <v>1044</v>
      </c>
      <c r="B486" t="s">
        <v>1045</v>
      </c>
      <c r="C486" t="s">
        <v>93</v>
      </c>
      <c r="D486">
        <v>31</v>
      </c>
      <c r="E486" t="s">
        <v>134</v>
      </c>
      <c r="F486" t="s">
        <v>135</v>
      </c>
      <c r="G486" t="s">
        <v>22</v>
      </c>
      <c r="H486">
        <v>3</v>
      </c>
      <c r="I486" t="str" cm="1">
        <f t="array" ref="I486">_xlfn.IFS(H486&lt;=5, "0-5", H486&lt;=10, "6-10", H486&lt;=15, "11-15", H486&lt;=20, "16-20", H486&gt;20, "21+")</f>
        <v>0-5</v>
      </c>
      <c r="J486">
        <v>75</v>
      </c>
      <c r="K486">
        <v>2.8</v>
      </c>
      <c r="L486" t="s">
        <v>2085</v>
      </c>
      <c r="M486" s="1">
        <v>0.6</v>
      </c>
    </row>
    <row r="487" spans="1:13" x14ac:dyDescent="0.3">
      <c r="A487" t="s">
        <v>1046</v>
      </c>
      <c r="B487" t="s">
        <v>1047</v>
      </c>
      <c r="C487" t="s">
        <v>93</v>
      </c>
      <c r="D487">
        <v>40</v>
      </c>
      <c r="E487" t="s">
        <v>59</v>
      </c>
      <c r="F487" t="s">
        <v>60</v>
      </c>
      <c r="G487" t="s">
        <v>85</v>
      </c>
      <c r="H487">
        <v>3</v>
      </c>
      <c r="I487" t="str" cm="1">
        <f t="array" ref="I487">_xlfn.IFS(H487&lt;=5, "0-5", H487&lt;=10, "6-10", H487&lt;=15, "11-15", H487&lt;=20, "16-20", H487&gt;20, "21+")</f>
        <v>0-5</v>
      </c>
      <c r="J487">
        <v>75</v>
      </c>
      <c r="K487">
        <v>2.6</v>
      </c>
      <c r="L487" t="s">
        <v>2085</v>
      </c>
    </row>
    <row r="488" spans="1:13" x14ac:dyDescent="0.3">
      <c r="A488" t="s">
        <v>1048</v>
      </c>
      <c r="B488" t="s">
        <v>668</v>
      </c>
      <c r="C488" t="s">
        <v>73</v>
      </c>
      <c r="D488">
        <v>48</v>
      </c>
      <c r="E488" t="s">
        <v>119</v>
      </c>
      <c r="F488" t="s">
        <v>120</v>
      </c>
      <c r="G488" t="s">
        <v>16</v>
      </c>
      <c r="H488">
        <v>33</v>
      </c>
      <c r="I488" t="str" cm="1">
        <f t="array" ref="I488">_xlfn.IFS(H488&lt;=5, "0-5", H488&lt;=10, "6-10", H488&lt;=15, "11-15", H488&lt;=20, "16-20", H488&gt;20, "21+")</f>
        <v>21+</v>
      </c>
      <c r="J488">
        <v>100</v>
      </c>
      <c r="K488">
        <v>2.7</v>
      </c>
      <c r="M488" s="1">
        <v>0.62</v>
      </c>
    </row>
    <row r="489" spans="1:13" x14ac:dyDescent="0.3">
      <c r="A489" t="s">
        <v>1049</v>
      </c>
      <c r="B489" t="s">
        <v>1050</v>
      </c>
      <c r="C489" t="s">
        <v>73</v>
      </c>
      <c r="D489">
        <v>24</v>
      </c>
      <c r="E489" t="s">
        <v>148</v>
      </c>
      <c r="F489" t="s">
        <v>149</v>
      </c>
      <c r="G489" t="s">
        <v>22</v>
      </c>
      <c r="H489">
        <v>24</v>
      </c>
      <c r="I489" t="str" cm="1">
        <f t="array" ref="I489">_xlfn.IFS(H489&lt;=5, "0-5", H489&lt;=10, "6-10", H489&lt;=15, "11-15", H489&lt;=20, "16-20", H489&gt;20, "21+")</f>
        <v>21+</v>
      </c>
      <c r="J489">
        <v>30</v>
      </c>
      <c r="K489">
        <v>1.1000000000000001</v>
      </c>
      <c r="L489" t="s">
        <v>2086</v>
      </c>
    </row>
    <row r="490" spans="1:13" x14ac:dyDescent="0.3">
      <c r="A490" t="s">
        <v>1051</v>
      </c>
      <c r="B490" t="s">
        <v>1052</v>
      </c>
      <c r="C490" t="s">
        <v>93</v>
      </c>
      <c r="D490">
        <v>33</v>
      </c>
      <c r="E490" t="s">
        <v>46</v>
      </c>
      <c r="F490" t="s">
        <v>47</v>
      </c>
      <c r="G490" t="s">
        <v>34</v>
      </c>
      <c r="H490">
        <v>3</v>
      </c>
      <c r="I490" t="str" cm="1">
        <f t="array" ref="I490">_xlfn.IFS(H490&lt;=5, "0-5", H490&lt;=10, "6-10", H490&lt;=15, "11-15", H490&lt;=20, "16-20", H490&gt;20, "21+")</f>
        <v>0-5</v>
      </c>
      <c r="J490">
        <v>30</v>
      </c>
      <c r="K490">
        <v>0</v>
      </c>
      <c r="L490" t="s">
        <v>2086</v>
      </c>
      <c r="M490" s="1">
        <v>0.89</v>
      </c>
    </row>
    <row r="491" spans="1:13" x14ac:dyDescent="0.3">
      <c r="A491" t="s">
        <v>1053</v>
      </c>
      <c r="B491" t="s">
        <v>1054</v>
      </c>
      <c r="C491" t="s">
        <v>73</v>
      </c>
      <c r="D491">
        <v>43</v>
      </c>
      <c r="E491" t="s">
        <v>103</v>
      </c>
      <c r="F491" t="s">
        <v>104</v>
      </c>
      <c r="G491" t="s">
        <v>69</v>
      </c>
      <c r="H491">
        <v>11</v>
      </c>
      <c r="I491" t="str" cm="1">
        <f t="array" ref="I491">_xlfn.IFS(H491&lt;=5, "0-5", H491&lt;=10, "6-10", H491&lt;=15, "11-15", H491&lt;=20, "16-20", H491&gt;20, "21+")</f>
        <v>11-15</v>
      </c>
      <c r="J491">
        <v>40</v>
      </c>
      <c r="K491">
        <v>0</v>
      </c>
      <c r="L491" t="s">
        <v>2086</v>
      </c>
      <c r="M491" s="1">
        <v>0.89</v>
      </c>
    </row>
    <row r="492" spans="1:13" x14ac:dyDescent="0.3">
      <c r="A492" t="s">
        <v>1055</v>
      </c>
      <c r="B492" t="s">
        <v>1056</v>
      </c>
      <c r="C492" t="s">
        <v>93</v>
      </c>
      <c r="D492">
        <v>43</v>
      </c>
      <c r="E492" t="s">
        <v>184</v>
      </c>
      <c r="F492" t="s">
        <v>68</v>
      </c>
      <c r="G492" t="s">
        <v>16</v>
      </c>
      <c r="H492">
        <v>7</v>
      </c>
      <c r="I492" t="str" cm="1">
        <f t="array" ref="I492">_xlfn.IFS(H492&lt;=5, "0-5", H492&lt;=10, "6-10", H492&lt;=15, "11-15", H492&lt;=20, "16-20", H492&gt;20, "21+")</f>
        <v>6-10</v>
      </c>
      <c r="J492">
        <v>50</v>
      </c>
      <c r="K492">
        <v>0</v>
      </c>
      <c r="L492" t="s">
        <v>2086</v>
      </c>
      <c r="M492" s="1">
        <v>1</v>
      </c>
    </row>
    <row r="493" spans="1:13" x14ac:dyDescent="0.3">
      <c r="A493" t="s">
        <v>1057</v>
      </c>
      <c r="B493" t="s">
        <v>1058</v>
      </c>
      <c r="C493" t="s">
        <v>73</v>
      </c>
      <c r="D493">
        <v>33</v>
      </c>
      <c r="E493" t="s">
        <v>20</v>
      </c>
      <c r="F493" t="s">
        <v>21</v>
      </c>
      <c r="G493" t="s">
        <v>34</v>
      </c>
      <c r="H493">
        <v>1</v>
      </c>
      <c r="I493" t="str" cm="1">
        <f t="array" ref="I493">_xlfn.IFS(H493&lt;=5, "0-5", H493&lt;=10, "6-10", H493&lt;=15, "11-15", H493&lt;=20, "16-20", H493&gt;20, "21+")</f>
        <v>0-5</v>
      </c>
      <c r="K493">
        <v>4.5999999999999996</v>
      </c>
      <c r="L493" t="s">
        <v>2086</v>
      </c>
    </row>
    <row r="494" spans="1:13" x14ac:dyDescent="0.3">
      <c r="A494" t="s">
        <v>1059</v>
      </c>
      <c r="B494" t="s">
        <v>1060</v>
      </c>
      <c r="C494" t="s">
        <v>73</v>
      </c>
      <c r="D494">
        <v>49</v>
      </c>
      <c r="E494" t="s">
        <v>119</v>
      </c>
      <c r="F494" t="s">
        <v>120</v>
      </c>
      <c r="G494" t="s">
        <v>69</v>
      </c>
      <c r="H494">
        <v>0</v>
      </c>
      <c r="I494" t="str" cm="1">
        <f t="array" ref="I494">_xlfn.IFS(H494&lt;=5, "0-5", H494&lt;=10, "6-10", H494&lt;=15, "11-15", H494&lt;=20, "16-20", H494&gt;20, "21+")</f>
        <v>0-5</v>
      </c>
      <c r="J494">
        <v>40</v>
      </c>
      <c r="K494">
        <v>1.5</v>
      </c>
      <c r="M494" s="1">
        <v>0.6</v>
      </c>
    </row>
    <row r="495" spans="1:13" x14ac:dyDescent="0.3">
      <c r="A495" t="s">
        <v>1061</v>
      </c>
      <c r="B495" t="s">
        <v>1062</v>
      </c>
      <c r="C495" t="s">
        <v>93</v>
      </c>
      <c r="D495">
        <v>55</v>
      </c>
      <c r="E495" t="s">
        <v>123</v>
      </c>
      <c r="F495" t="s">
        <v>21</v>
      </c>
      <c r="G495" t="s">
        <v>69</v>
      </c>
      <c r="H495">
        <v>1</v>
      </c>
      <c r="I495" t="str" cm="1">
        <f t="array" ref="I495">_xlfn.IFS(H495&lt;=5, "0-5", H495&lt;=10, "6-10", H495&lt;=15, "11-15", H495&lt;=20, "16-20", H495&gt;20, "21+")</f>
        <v>0-5</v>
      </c>
      <c r="J495">
        <v>40</v>
      </c>
      <c r="K495">
        <v>2</v>
      </c>
      <c r="L495" t="s">
        <v>2085</v>
      </c>
      <c r="M495" s="1">
        <v>0.85</v>
      </c>
    </row>
    <row r="496" spans="1:13" x14ac:dyDescent="0.3">
      <c r="A496" t="s">
        <v>1063</v>
      </c>
      <c r="B496" t="s">
        <v>1064</v>
      </c>
      <c r="C496" t="s">
        <v>73</v>
      </c>
      <c r="D496">
        <v>33</v>
      </c>
      <c r="E496" t="s">
        <v>108</v>
      </c>
      <c r="F496" t="s">
        <v>109</v>
      </c>
      <c r="G496" t="s">
        <v>29</v>
      </c>
      <c r="H496">
        <v>1</v>
      </c>
      <c r="I496" t="str" cm="1">
        <f t="array" ref="I496">_xlfn.IFS(H496&lt;=5, "0-5", H496&lt;=10, "6-10", H496&lt;=15, "11-15", H496&lt;=20, "16-20", H496&gt;20, "21+")</f>
        <v>0-5</v>
      </c>
      <c r="J496">
        <v>40</v>
      </c>
      <c r="K496">
        <v>1.6</v>
      </c>
      <c r="M496" s="1">
        <v>0.83</v>
      </c>
    </row>
    <row r="497" spans="1:13" x14ac:dyDescent="0.3">
      <c r="A497" t="s">
        <v>1065</v>
      </c>
      <c r="B497" t="s">
        <v>1066</v>
      </c>
      <c r="C497" t="s">
        <v>93</v>
      </c>
      <c r="D497">
        <v>32</v>
      </c>
      <c r="E497" t="s">
        <v>67</v>
      </c>
      <c r="F497" t="s">
        <v>68</v>
      </c>
      <c r="G497" t="s">
        <v>42</v>
      </c>
      <c r="H497">
        <v>7</v>
      </c>
      <c r="I497" t="str" cm="1">
        <f t="array" ref="I497">_xlfn.IFS(H497&lt;=5, "0-5", H497&lt;=10, "6-10", H497&lt;=15, "11-15", H497&lt;=20, "16-20", H497&gt;20, "21+")</f>
        <v>6-10</v>
      </c>
      <c r="J497">
        <v>30</v>
      </c>
      <c r="K497">
        <v>1.5</v>
      </c>
      <c r="L497" t="s">
        <v>2085</v>
      </c>
      <c r="M497" s="1">
        <v>0.96</v>
      </c>
    </row>
    <row r="498" spans="1:13" x14ac:dyDescent="0.3">
      <c r="A498" t="s">
        <v>1067</v>
      </c>
      <c r="B498" t="s">
        <v>1068</v>
      </c>
      <c r="C498" t="s">
        <v>93</v>
      </c>
      <c r="D498">
        <v>58</v>
      </c>
      <c r="E498" t="s">
        <v>40</v>
      </c>
      <c r="F498" t="s">
        <v>41</v>
      </c>
      <c r="G498" t="s">
        <v>16</v>
      </c>
      <c r="I498" t="str" cm="1">
        <f t="array" ref="I498">_xlfn.IFS(H498&lt;=5, "0-5", H498&lt;=10, "6-10", H498&lt;=15, "11-15", H498&lt;=20, "16-20", H498&gt;20, "21+")</f>
        <v>0-5</v>
      </c>
      <c r="K498">
        <v>4.0999999999999996</v>
      </c>
      <c r="L498" t="s">
        <v>2086</v>
      </c>
      <c r="M498" s="1">
        <v>0.83</v>
      </c>
    </row>
    <row r="499" spans="1:13" x14ac:dyDescent="0.3">
      <c r="A499" t="s">
        <v>1069</v>
      </c>
      <c r="B499" t="s">
        <v>2102</v>
      </c>
      <c r="C499" t="s">
        <v>93</v>
      </c>
      <c r="D499">
        <v>49</v>
      </c>
      <c r="E499" t="s">
        <v>46</v>
      </c>
      <c r="F499" t="s">
        <v>47</v>
      </c>
      <c r="G499" t="s">
        <v>48</v>
      </c>
      <c r="H499">
        <v>6</v>
      </c>
      <c r="I499" t="str" cm="1">
        <f t="array" ref="I499">_xlfn.IFS(H499&lt;=5, "0-5", H499&lt;=10, "6-10", H499&lt;=15, "11-15", H499&lt;=20, "16-20", H499&gt;20, "21+")</f>
        <v>6-10</v>
      </c>
      <c r="J499">
        <v>100</v>
      </c>
      <c r="K499">
        <v>4.7</v>
      </c>
      <c r="L499" t="s">
        <v>2085</v>
      </c>
      <c r="M499" s="1">
        <v>0.6</v>
      </c>
    </row>
    <row r="500" spans="1:13" x14ac:dyDescent="0.3">
      <c r="A500" t="s">
        <v>1071</v>
      </c>
      <c r="B500" t="s">
        <v>1072</v>
      </c>
      <c r="C500" t="s">
        <v>73</v>
      </c>
      <c r="D500">
        <v>22</v>
      </c>
      <c r="E500" t="s">
        <v>119</v>
      </c>
      <c r="F500" t="s">
        <v>120</v>
      </c>
      <c r="G500" t="s">
        <v>69</v>
      </c>
      <c r="H500">
        <v>5</v>
      </c>
      <c r="I500" t="str" cm="1">
        <f t="array" ref="I500">_xlfn.IFS(H500&lt;=5, "0-5", H500&lt;=10, "6-10", H500&lt;=15, "11-15", H500&lt;=20, "16-20", H500&gt;20, "21+")</f>
        <v>0-5</v>
      </c>
      <c r="J500">
        <v>100</v>
      </c>
      <c r="K500">
        <v>3.6</v>
      </c>
      <c r="L500" t="s">
        <v>2086</v>
      </c>
      <c r="M500" s="1">
        <v>0.78</v>
      </c>
    </row>
    <row r="501" spans="1:13" x14ac:dyDescent="0.3">
      <c r="A501" t="s">
        <v>1073</v>
      </c>
      <c r="B501" t="s">
        <v>1074</v>
      </c>
      <c r="C501" t="s">
        <v>73</v>
      </c>
      <c r="D501">
        <v>40</v>
      </c>
      <c r="E501" t="s">
        <v>134</v>
      </c>
      <c r="F501" t="s">
        <v>135</v>
      </c>
      <c r="G501" t="s">
        <v>34</v>
      </c>
      <c r="H501">
        <v>17</v>
      </c>
      <c r="I501" t="str" cm="1">
        <f t="array" ref="I501">_xlfn.IFS(H501&lt;=5, "0-5", H501&lt;=10, "6-10", H501&lt;=15, "11-15", H501&lt;=20, "16-20", H501&gt;20, "21+")</f>
        <v>16-20</v>
      </c>
      <c r="J501">
        <v>20</v>
      </c>
      <c r="K501">
        <v>1.8</v>
      </c>
      <c r="L501" t="s">
        <v>2086</v>
      </c>
      <c r="M501" s="1">
        <v>0.9</v>
      </c>
    </row>
    <row r="502" spans="1:13" x14ac:dyDescent="0.3">
      <c r="A502" t="s">
        <v>1075</v>
      </c>
      <c r="B502" t="s">
        <v>1076</v>
      </c>
      <c r="C502" t="s">
        <v>93</v>
      </c>
      <c r="D502">
        <v>55</v>
      </c>
      <c r="E502" t="s">
        <v>20</v>
      </c>
      <c r="F502" t="s">
        <v>21</v>
      </c>
      <c r="G502" t="s">
        <v>48</v>
      </c>
      <c r="H502">
        <v>0</v>
      </c>
      <c r="I502" t="str" cm="1">
        <f t="array" ref="I502">_xlfn.IFS(H502&lt;=5, "0-5", H502&lt;=10, "6-10", H502&lt;=15, "11-15", H502&lt;=20, "16-20", H502&gt;20, "21+")</f>
        <v>0-5</v>
      </c>
      <c r="J502">
        <v>100</v>
      </c>
      <c r="K502">
        <v>2.1</v>
      </c>
      <c r="L502" t="s">
        <v>2085</v>
      </c>
      <c r="M502" s="1">
        <v>0.66</v>
      </c>
    </row>
    <row r="503" spans="1:13" x14ac:dyDescent="0.3">
      <c r="A503" t="s">
        <v>1077</v>
      </c>
      <c r="B503" t="s">
        <v>1078</v>
      </c>
      <c r="C503" t="s">
        <v>93</v>
      </c>
      <c r="D503">
        <v>32</v>
      </c>
      <c r="E503" t="s">
        <v>173</v>
      </c>
      <c r="F503" t="s">
        <v>68</v>
      </c>
      <c r="G503" t="s">
        <v>85</v>
      </c>
      <c r="H503">
        <v>8</v>
      </c>
      <c r="I503" t="str" cm="1">
        <f t="array" ref="I503">_xlfn.IFS(H503&lt;=5, "0-5", H503&lt;=10, "6-10", H503&lt;=15, "11-15", H503&lt;=20, "16-20", H503&gt;20, "21+")</f>
        <v>6-10</v>
      </c>
      <c r="J503">
        <v>50</v>
      </c>
      <c r="L503" t="s">
        <v>2086</v>
      </c>
      <c r="M503" s="1">
        <v>0.7</v>
      </c>
    </row>
    <row r="504" spans="1:13" x14ac:dyDescent="0.3">
      <c r="A504" t="s">
        <v>1079</v>
      </c>
      <c r="B504" t="s">
        <v>1080</v>
      </c>
      <c r="C504" t="s">
        <v>73</v>
      </c>
      <c r="D504">
        <v>21</v>
      </c>
      <c r="E504" t="s">
        <v>81</v>
      </c>
      <c r="F504" t="s">
        <v>82</v>
      </c>
      <c r="G504" t="s">
        <v>69</v>
      </c>
      <c r="H504">
        <v>13</v>
      </c>
      <c r="I504" t="str" cm="1">
        <f t="array" ref="I504">_xlfn.IFS(H504&lt;=5, "0-5", H504&lt;=10, "6-10", H504&lt;=15, "11-15", H504&lt;=20, "16-20", H504&gt;20, "21+")</f>
        <v>11-15</v>
      </c>
      <c r="J504">
        <v>30</v>
      </c>
      <c r="K504">
        <v>4.2</v>
      </c>
      <c r="L504" t="s">
        <v>2086</v>
      </c>
      <c r="M504" s="1">
        <v>0.79</v>
      </c>
    </row>
    <row r="505" spans="1:13" x14ac:dyDescent="0.3">
      <c r="A505" t="s">
        <v>1081</v>
      </c>
      <c r="B505" t="s">
        <v>1082</v>
      </c>
      <c r="C505" t="s">
        <v>93</v>
      </c>
      <c r="D505">
        <v>23</v>
      </c>
      <c r="E505" t="s">
        <v>108</v>
      </c>
      <c r="F505" t="s">
        <v>109</v>
      </c>
      <c r="G505" t="s">
        <v>16</v>
      </c>
      <c r="H505">
        <v>15</v>
      </c>
      <c r="I505" t="str" cm="1">
        <f t="array" ref="I505">_xlfn.IFS(H505&lt;=5, "0-5", H505&lt;=10, "6-10", H505&lt;=15, "11-15", H505&lt;=20, "16-20", H505&gt;20, "21+")</f>
        <v>11-15</v>
      </c>
      <c r="J505">
        <v>40</v>
      </c>
      <c r="K505">
        <v>0</v>
      </c>
      <c r="L505" t="s">
        <v>2085</v>
      </c>
      <c r="M505" s="1">
        <v>0.64</v>
      </c>
    </row>
    <row r="506" spans="1:13" x14ac:dyDescent="0.3">
      <c r="A506" t="s">
        <v>1083</v>
      </c>
      <c r="B506" t="s">
        <v>1084</v>
      </c>
      <c r="C506" t="s">
        <v>93</v>
      </c>
      <c r="D506">
        <v>21</v>
      </c>
      <c r="E506" t="s">
        <v>63</v>
      </c>
      <c r="F506" t="s">
        <v>21</v>
      </c>
      <c r="G506" t="s">
        <v>22</v>
      </c>
      <c r="H506">
        <v>2</v>
      </c>
      <c r="I506" t="str" cm="1">
        <f t="array" ref="I506">_xlfn.IFS(H506&lt;=5, "0-5", H506&lt;=10, "6-10", H506&lt;=15, "11-15", H506&lt;=20, "16-20", H506&gt;20, "21+")</f>
        <v>0-5</v>
      </c>
      <c r="J506">
        <v>30</v>
      </c>
      <c r="K506">
        <v>1</v>
      </c>
      <c r="L506" t="s">
        <v>2085</v>
      </c>
      <c r="M506" s="1">
        <v>0.81</v>
      </c>
    </row>
    <row r="507" spans="1:13" x14ac:dyDescent="0.3">
      <c r="A507" t="s">
        <v>1085</v>
      </c>
      <c r="B507" t="s">
        <v>1086</v>
      </c>
      <c r="C507" t="s">
        <v>93</v>
      </c>
      <c r="D507">
        <v>31</v>
      </c>
      <c r="E507" t="s">
        <v>67</v>
      </c>
      <c r="F507" t="s">
        <v>68</v>
      </c>
      <c r="G507" t="s">
        <v>42</v>
      </c>
      <c r="H507">
        <v>9</v>
      </c>
      <c r="I507" t="str" cm="1">
        <f t="array" ref="I507">_xlfn.IFS(H507&lt;=5, "0-5", H507&lt;=10, "6-10", H507&lt;=15, "11-15", H507&lt;=20, "16-20", H507&gt;20, "21+")</f>
        <v>6-10</v>
      </c>
      <c r="J507">
        <v>75</v>
      </c>
      <c r="K507">
        <v>4.4000000000000004</v>
      </c>
      <c r="L507" t="s">
        <v>2085</v>
      </c>
      <c r="M507" s="1">
        <v>0.83</v>
      </c>
    </row>
    <row r="508" spans="1:13" x14ac:dyDescent="0.3">
      <c r="A508" t="s">
        <v>1087</v>
      </c>
      <c r="B508" t="s">
        <v>1088</v>
      </c>
      <c r="C508" t="s">
        <v>93</v>
      </c>
      <c r="D508">
        <v>21</v>
      </c>
      <c r="E508" t="s">
        <v>173</v>
      </c>
      <c r="F508" t="s">
        <v>68</v>
      </c>
      <c r="G508" t="s">
        <v>16</v>
      </c>
      <c r="H508">
        <v>3</v>
      </c>
      <c r="I508" t="str" cm="1">
        <f t="array" ref="I508">_xlfn.IFS(H508&lt;=5, "0-5", H508&lt;=10, "6-10", H508&lt;=15, "11-15", H508&lt;=20, "16-20", H508&gt;20, "21+")</f>
        <v>0-5</v>
      </c>
      <c r="J508">
        <v>40</v>
      </c>
      <c r="K508">
        <v>4</v>
      </c>
      <c r="L508" t="s">
        <v>2085</v>
      </c>
      <c r="M508" s="1">
        <v>0.91</v>
      </c>
    </row>
    <row r="509" spans="1:13" x14ac:dyDescent="0.3">
      <c r="A509" t="s">
        <v>1089</v>
      </c>
      <c r="B509" t="s">
        <v>2103</v>
      </c>
      <c r="C509" t="s">
        <v>93</v>
      </c>
      <c r="D509">
        <v>33</v>
      </c>
      <c r="E509" t="s">
        <v>63</v>
      </c>
      <c r="F509" t="s">
        <v>21</v>
      </c>
      <c r="G509" t="s">
        <v>74</v>
      </c>
      <c r="H509">
        <v>15</v>
      </c>
      <c r="I509" t="str" cm="1">
        <f t="array" ref="I509">_xlfn.IFS(H509&lt;=5, "0-5", H509&lt;=10, "6-10", H509&lt;=15, "11-15", H509&lt;=20, "16-20", H509&gt;20, "21+")</f>
        <v>11-15</v>
      </c>
      <c r="J509">
        <v>50</v>
      </c>
      <c r="K509">
        <v>3.1</v>
      </c>
      <c r="L509" t="s">
        <v>2085</v>
      </c>
    </row>
    <row r="510" spans="1:13" x14ac:dyDescent="0.3">
      <c r="A510" t="s">
        <v>1091</v>
      </c>
      <c r="B510" t="s">
        <v>1092</v>
      </c>
      <c r="C510" t="s">
        <v>93</v>
      </c>
      <c r="D510">
        <v>57</v>
      </c>
      <c r="E510" t="s">
        <v>103</v>
      </c>
      <c r="F510" t="s">
        <v>104</v>
      </c>
      <c r="G510" t="s">
        <v>34</v>
      </c>
      <c r="H510">
        <v>21</v>
      </c>
      <c r="I510" t="str" cm="1">
        <f t="array" ref="I510">_xlfn.IFS(H510&lt;=5, "0-5", H510&lt;=10, "6-10", H510&lt;=15, "11-15", H510&lt;=20, "16-20", H510&gt;20, "21+")</f>
        <v>21+</v>
      </c>
      <c r="J510">
        <v>75</v>
      </c>
      <c r="K510">
        <v>1.1000000000000001</v>
      </c>
      <c r="L510" t="s">
        <v>2086</v>
      </c>
      <c r="M510" s="1">
        <v>0.77</v>
      </c>
    </row>
    <row r="511" spans="1:13" x14ac:dyDescent="0.3">
      <c r="A511" t="s">
        <v>1093</v>
      </c>
      <c r="B511" t="s">
        <v>1094</v>
      </c>
      <c r="C511" t="s">
        <v>93</v>
      </c>
      <c r="D511">
        <v>52</v>
      </c>
      <c r="E511" t="s">
        <v>55</v>
      </c>
      <c r="F511" t="s">
        <v>21</v>
      </c>
      <c r="G511" t="s">
        <v>85</v>
      </c>
      <c r="H511">
        <v>2</v>
      </c>
      <c r="I511" t="str" cm="1">
        <f t="array" ref="I511">_xlfn.IFS(H511&lt;=5, "0-5", H511&lt;=10, "6-10", H511&lt;=15, "11-15", H511&lt;=20, "16-20", H511&gt;20, "21+")</f>
        <v>0-5</v>
      </c>
      <c r="J511">
        <v>75</v>
      </c>
      <c r="K511">
        <v>0</v>
      </c>
      <c r="L511" t="s">
        <v>2085</v>
      </c>
      <c r="M511" s="1">
        <v>0.94</v>
      </c>
    </row>
    <row r="512" spans="1:13" x14ac:dyDescent="0.3">
      <c r="A512" t="s">
        <v>1095</v>
      </c>
      <c r="B512" t="s">
        <v>2104</v>
      </c>
      <c r="C512" t="s">
        <v>73</v>
      </c>
      <c r="D512">
        <v>21</v>
      </c>
      <c r="E512" t="s">
        <v>27</v>
      </c>
      <c r="F512" t="s">
        <v>28</v>
      </c>
      <c r="G512" t="s">
        <v>34</v>
      </c>
      <c r="H512">
        <v>21</v>
      </c>
      <c r="I512" t="str" cm="1">
        <f t="array" ref="I512">_xlfn.IFS(H512&lt;=5, "0-5", H512&lt;=10, "6-10", H512&lt;=15, "11-15", H512&lt;=20, "16-20", H512&gt;20, "21+")</f>
        <v>21+</v>
      </c>
      <c r="J512">
        <v>20</v>
      </c>
      <c r="K512">
        <v>3.8</v>
      </c>
      <c r="L512" t="s">
        <v>2086</v>
      </c>
      <c r="M512" s="1">
        <v>0.61</v>
      </c>
    </row>
    <row r="513" spans="1:13" x14ac:dyDescent="0.3">
      <c r="A513" t="s">
        <v>1097</v>
      </c>
      <c r="B513" t="s">
        <v>1098</v>
      </c>
      <c r="C513" t="s">
        <v>73</v>
      </c>
      <c r="D513">
        <v>36</v>
      </c>
      <c r="E513" t="s">
        <v>67</v>
      </c>
      <c r="F513" t="s">
        <v>68</v>
      </c>
      <c r="G513" t="s">
        <v>69</v>
      </c>
      <c r="H513">
        <v>0</v>
      </c>
      <c r="I513" t="str" cm="1">
        <f t="array" ref="I513">_xlfn.IFS(H513&lt;=5, "0-5", H513&lt;=10, "6-10", H513&lt;=15, "11-15", H513&lt;=20, "16-20", H513&gt;20, "21+")</f>
        <v>0-5</v>
      </c>
      <c r="J513">
        <v>100</v>
      </c>
      <c r="K513">
        <v>1.7</v>
      </c>
      <c r="L513" t="s">
        <v>2085</v>
      </c>
      <c r="M513" s="1">
        <v>0.68</v>
      </c>
    </row>
    <row r="514" spans="1:13" x14ac:dyDescent="0.3">
      <c r="A514" t="s">
        <v>1099</v>
      </c>
      <c r="B514" t="s">
        <v>1100</v>
      </c>
      <c r="C514" t="s">
        <v>93</v>
      </c>
      <c r="D514">
        <v>33</v>
      </c>
      <c r="E514" t="s">
        <v>184</v>
      </c>
      <c r="F514" t="s">
        <v>68</v>
      </c>
      <c r="G514" t="s">
        <v>110</v>
      </c>
      <c r="H514">
        <v>4</v>
      </c>
      <c r="I514" t="str" cm="1">
        <f t="array" ref="I514">_xlfn.IFS(H514&lt;=5, "0-5", H514&lt;=10, "6-10", H514&lt;=15, "11-15", H514&lt;=20, "16-20", H514&gt;20, "21+")</f>
        <v>0-5</v>
      </c>
      <c r="J514">
        <v>50</v>
      </c>
      <c r="K514">
        <v>2.2000000000000002</v>
      </c>
      <c r="L514" t="s">
        <v>2085</v>
      </c>
      <c r="M514" s="1">
        <v>0.7</v>
      </c>
    </row>
    <row r="515" spans="1:13" x14ac:dyDescent="0.3">
      <c r="A515" t="s">
        <v>1101</v>
      </c>
      <c r="B515" t="s">
        <v>1102</v>
      </c>
      <c r="C515" t="s">
        <v>73</v>
      </c>
      <c r="D515">
        <v>54</v>
      </c>
      <c r="E515" t="s">
        <v>63</v>
      </c>
      <c r="F515" t="s">
        <v>21</v>
      </c>
      <c r="G515" t="s">
        <v>48</v>
      </c>
      <c r="H515">
        <v>23</v>
      </c>
      <c r="I515" t="str" cm="1">
        <f t="array" ref="I515">_xlfn.IFS(H515&lt;=5, "0-5", H515&lt;=10, "6-10", H515&lt;=15, "11-15", H515&lt;=20, "16-20", H515&gt;20, "21+")</f>
        <v>21+</v>
      </c>
      <c r="J515">
        <v>40</v>
      </c>
      <c r="K515">
        <v>4.0999999999999996</v>
      </c>
      <c r="L515" t="s">
        <v>2086</v>
      </c>
      <c r="M515" s="1">
        <v>0.71</v>
      </c>
    </row>
    <row r="516" spans="1:13" x14ac:dyDescent="0.3">
      <c r="A516" t="s">
        <v>1103</v>
      </c>
      <c r="B516" t="s">
        <v>1104</v>
      </c>
      <c r="C516" t="s">
        <v>73</v>
      </c>
      <c r="D516">
        <v>33</v>
      </c>
      <c r="E516" t="s">
        <v>55</v>
      </c>
      <c r="F516" t="s">
        <v>21</v>
      </c>
      <c r="G516" t="s">
        <v>16</v>
      </c>
      <c r="H516">
        <v>25</v>
      </c>
      <c r="I516" t="str" cm="1">
        <f t="array" ref="I516">_xlfn.IFS(H516&lt;=5, "0-5", H516&lt;=10, "6-10", H516&lt;=15, "11-15", H516&lt;=20, "16-20", H516&gt;20, "21+")</f>
        <v>21+</v>
      </c>
      <c r="J516">
        <v>100</v>
      </c>
      <c r="K516">
        <v>3.8</v>
      </c>
      <c r="L516" t="s">
        <v>2085</v>
      </c>
    </row>
    <row r="517" spans="1:13" x14ac:dyDescent="0.3">
      <c r="A517" t="s">
        <v>1105</v>
      </c>
      <c r="B517" t="s">
        <v>1106</v>
      </c>
      <c r="C517" t="s">
        <v>73</v>
      </c>
      <c r="D517">
        <v>36</v>
      </c>
      <c r="E517" t="s">
        <v>81</v>
      </c>
      <c r="F517" t="s">
        <v>82</v>
      </c>
      <c r="G517" t="s">
        <v>110</v>
      </c>
      <c r="H517">
        <v>10</v>
      </c>
      <c r="I517" t="str" cm="1">
        <f t="array" ref="I517">_xlfn.IFS(H517&lt;=5, "0-5", H517&lt;=10, "6-10", H517&lt;=15, "11-15", H517&lt;=20, "16-20", H517&gt;20, "21+")</f>
        <v>6-10</v>
      </c>
      <c r="J517">
        <v>30</v>
      </c>
      <c r="K517">
        <v>0</v>
      </c>
      <c r="L517" t="s">
        <v>2086</v>
      </c>
      <c r="M517" s="1">
        <v>0.78</v>
      </c>
    </row>
    <row r="518" spans="1:13" x14ac:dyDescent="0.3">
      <c r="A518" t="s">
        <v>1107</v>
      </c>
      <c r="B518" t="s">
        <v>1108</v>
      </c>
      <c r="C518" t="s">
        <v>73</v>
      </c>
      <c r="D518">
        <v>36</v>
      </c>
      <c r="E518" t="s">
        <v>59</v>
      </c>
      <c r="F518" t="s">
        <v>60</v>
      </c>
      <c r="G518" t="s">
        <v>42</v>
      </c>
      <c r="H518">
        <v>18</v>
      </c>
      <c r="I518" t="str" cm="1">
        <f t="array" ref="I518">_xlfn.IFS(H518&lt;=5, "0-5", H518&lt;=10, "6-10", H518&lt;=15, "11-15", H518&lt;=20, "16-20", H518&gt;20, "21+")</f>
        <v>16-20</v>
      </c>
      <c r="J518">
        <v>50</v>
      </c>
      <c r="K518">
        <v>0</v>
      </c>
      <c r="L518" t="s">
        <v>2085</v>
      </c>
      <c r="M518" s="1">
        <v>0.75</v>
      </c>
    </row>
    <row r="519" spans="1:13" x14ac:dyDescent="0.3">
      <c r="A519" t="s">
        <v>1109</v>
      </c>
      <c r="B519" t="s">
        <v>1110</v>
      </c>
      <c r="C519" t="s">
        <v>73</v>
      </c>
      <c r="D519">
        <v>43</v>
      </c>
      <c r="E519" t="s">
        <v>169</v>
      </c>
      <c r="F519" t="s">
        <v>170</v>
      </c>
      <c r="G519" t="s">
        <v>42</v>
      </c>
      <c r="H519">
        <v>1</v>
      </c>
      <c r="I519" t="str" cm="1">
        <f t="array" ref="I519">_xlfn.IFS(H519&lt;=5, "0-5", H519&lt;=10, "6-10", H519&lt;=15, "11-15", H519&lt;=20, "16-20", H519&gt;20, "21+")</f>
        <v>0-5</v>
      </c>
      <c r="J519">
        <v>20</v>
      </c>
      <c r="K519">
        <v>4.2</v>
      </c>
      <c r="L519" t="s">
        <v>2086</v>
      </c>
      <c r="M519" s="1">
        <v>0.91</v>
      </c>
    </row>
    <row r="520" spans="1:13" x14ac:dyDescent="0.3">
      <c r="A520" t="s">
        <v>1111</v>
      </c>
      <c r="B520" t="s">
        <v>1112</v>
      </c>
      <c r="C520" t="s">
        <v>93</v>
      </c>
      <c r="D520">
        <v>52</v>
      </c>
      <c r="E520" t="s">
        <v>63</v>
      </c>
      <c r="F520" t="s">
        <v>21</v>
      </c>
      <c r="G520" t="s">
        <v>48</v>
      </c>
      <c r="H520">
        <v>12</v>
      </c>
      <c r="I520" t="str" cm="1">
        <f t="array" ref="I520">_xlfn.IFS(H520&lt;=5, "0-5", H520&lt;=10, "6-10", H520&lt;=15, "11-15", H520&lt;=20, "16-20", H520&gt;20, "21+")</f>
        <v>11-15</v>
      </c>
      <c r="J520">
        <v>75</v>
      </c>
      <c r="K520">
        <v>2.2000000000000002</v>
      </c>
      <c r="L520" t="s">
        <v>2086</v>
      </c>
      <c r="M520" s="1">
        <v>0.66</v>
      </c>
    </row>
    <row r="521" spans="1:13" x14ac:dyDescent="0.3">
      <c r="A521" t="s">
        <v>1113</v>
      </c>
      <c r="B521" t="s">
        <v>1114</v>
      </c>
      <c r="C521" t="s">
        <v>73</v>
      </c>
      <c r="D521">
        <v>28</v>
      </c>
      <c r="E521" t="s">
        <v>46</v>
      </c>
      <c r="F521" t="s">
        <v>47</v>
      </c>
      <c r="G521" t="s">
        <v>74</v>
      </c>
      <c r="I521" t="str" cm="1">
        <f t="array" ref="I521">_xlfn.IFS(H521&lt;=5, "0-5", H521&lt;=10, "6-10", H521&lt;=15, "11-15", H521&lt;=20, "16-20", H521&gt;20, "21+")</f>
        <v>0-5</v>
      </c>
      <c r="J521">
        <v>75</v>
      </c>
      <c r="K521">
        <v>1.5</v>
      </c>
      <c r="L521" t="s">
        <v>2086</v>
      </c>
      <c r="M521" s="1">
        <v>0.68</v>
      </c>
    </row>
    <row r="522" spans="1:13" x14ac:dyDescent="0.3">
      <c r="A522" t="s">
        <v>1115</v>
      </c>
      <c r="B522" t="s">
        <v>1116</v>
      </c>
      <c r="C522" t="s">
        <v>73</v>
      </c>
      <c r="D522">
        <v>47</v>
      </c>
      <c r="E522" t="s">
        <v>169</v>
      </c>
      <c r="F522" t="s">
        <v>170</v>
      </c>
      <c r="G522" t="s">
        <v>74</v>
      </c>
      <c r="H522">
        <v>5</v>
      </c>
      <c r="I522" t="str" cm="1">
        <f t="array" ref="I522">_xlfn.IFS(H522&lt;=5, "0-5", H522&lt;=10, "6-10", H522&lt;=15, "11-15", H522&lt;=20, "16-20", H522&gt;20, "21+")</f>
        <v>0-5</v>
      </c>
      <c r="J522">
        <v>100</v>
      </c>
      <c r="K522">
        <v>0</v>
      </c>
      <c r="L522" t="s">
        <v>2085</v>
      </c>
    </row>
    <row r="523" spans="1:13" x14ac:dyDescent="0.3">
      <c r="A523" t="s">
        <v>1117</v>
      </c>
      <c r="B523" t="s">
        <v>1118</v>
      </c>
      <c r="C523" t="s">
        <v>73</v>
      </c>
      <c r="D523">
        <v>30</v>
      </c>
      <c r="E523" t="s">
        <v>130</v>
      </c>
      <c r="F523" t="s">
        <v>131</v>
      </c>
      <c r="G523" t="s">
        <v>85</v>
      </c>
      <c r="H523">
        <v>28</v>
      </c>
      <c r="I523" t="str" cm="1">
        <f t="array" ref="I523">_xlfn.IFS(H523&lt;=5, "0-5", H523&lt;=10, "6-10", H523&lt;=15, "11-15", H523&lt;=20, "16-20", H523&gt;20, "21+")</f>
        <v>21+</v>
      </c>
      <c r="J523">
        <v>100</v>
      </c>
      <c r="K523">
        <v>4.0999999999999996</v>
      </c>
      <c r="L523" t="s">
        <v>2085</v>
      </c>
      <c r="M523" s="1">
        <v>0.62</v>
      </c>
    </row>
    <row r="524" spans="1:13" x14ac:dyDescent="0.3">
      <c r="A524" t="s">
        <v>1119</v>
      </c>
      <c r="B524" t="s">
        <v>1120</v>
      </c>
      <c r="C524" t="s">
        <v>93</v>
      </c>
      <c r="D524">
        <v>36</v>
      </c>
      <c r="E524" t="s">
        <v>134</v>
      </c>
      <c r="F524" t="s">
        <v>135</v>
      </c>
      <c r="G524" t="s">
        <v>16</v>
      </c>
      <c r="H524">
        <v>0</v>
      </c>
      <c r="I524" t="str" cm="1">
        <f t="array" ref="I524">_xlfn.IFS(H524&lt;=5, "0-5", H524&lt;=10, "6-10", H524&lt;=15, "11-15", H524&lt;=20, "16-20", H524&gt;20, "21+")</f>
        <v>0-5</v>
      </c>
      <c r="J524">
        <v>40</v>
      </c>
      <c r="K524">
        <v>2.6</v>
      </c>
      <c r="L524" t="s">
        <v>2085</v>
      </c>
      <c r="M524" s="1">
        <v>0.9</v>
      </c>
    </row>
    <row r="525" spans="1:13" x14ac:dyDescent="0.3">
      <c r="A525" t="s">
        <v>1121</v>
      </c>
      <c r="B525" t="s">
        <v>1122</v>
      </c>
      <c r="C525" t="s">
        <v>73</v>
      </c>
      <c r="D525">
        <v>45</v>
      </c>
      <c r="E525" t="s">
        <v>55</v>
      </c>
      <c r="F525" t="s">
        <v>21</v>
      </c>
      <c r="G525" t="s">
        <v>69</v>
      </c>
      <c r="H525">
        <v>14</v>
      </c>
      <c r="I525" t="str" cm="1">
        <f t="array" ref="I525">_xlfn.IFS(H525&lt;=5, "0-5", H525&lt;=10, "6-10", H525&lt;=15, "11-15", H525&lt;=20, "16-20", H525&gt;20, "21+")</f>
        <v>11-15</v>
      </c>
      <c r="J525">
        <v>100</v>
      </c>
      <c r="K525">
        <v>2.4</v>
      </c>
      <c r="L525" t="s">
        <v>2085</v>
      </c>
      <c r="M525" s="1">
        <v>0.96</v>
      </c>
    </row>
    <row r="526" spans="1:13" x14ac:dyDescent="0.3">
      <c r="A526" t="s">
        <v>1123</v>
      </c>
      <c r="B526" t="s">
        <v>1124</v>
      </c>
      <c r="C526" t="s">
        <v>73</v>
      </c>
      <c r="D526">
        <v>51</v>
      </c>
      <c r="E526" t="s">
        <v>55</v>
      </c>
      <c r="F526" t="s">
        <v>21</v>
      </c>
      <c r="G526" t="s">
        <v>16</v>
      </c>
      <c r="H526">
        <v>15</v>
      </c>
      <c r="I526" t="str" cm="1">
        <f t="array" ref="I526">_xlfn.IFS(H526&lt;=5, "0-5", H526&lt;=10, "6-10", H526&lt;=15, "11-15", H526&lt;=20, "16-20", H526&gt;20, "21+")</f>
        <v>11-15</v>
      </c>
      <c r="J526">
        <v>50</v>
      </c>
      <c r="K526">
        <v>1.4</v>
      </c>
      <c r="L526" t="s">
        <v>2086</v>
      </c>
      <c r="M526" s="1">
        <v>0.6</v>
      </c>
    </row>
    <row r="527" spans="1:13" x14ac:dyDescent="0.3">
      <c r="A527" t="s">
        <v>1125</v>
      </c>
      <c r="B527" t="s">
        <v>1126</v>
      </c>
      <c r="C527" t="s">
        <v>93</v>
      </c>
      <c r="D527">
        <v>46</v>
      </c>
      <c r="E527" t="s">
        <v>59</v>
      </c>
      <c r="F527" t="s">
        <v>60</v>
      </c>
      <c r="G527" t="s">
        <v>22</v>
      </c>
      <c r="H527">
        <v>9</v>
      </c>
      <c r="I527" t="str" cm="1">
        <f t="array" ref="I527">_xlfn.IFS(H527&lt;=5, "0-5", H527&lt;=10, "6-10", H527&lt;=15, "11-15", H527&lt;=20, "16-20", H527&gt;20, "21+")</f>
        <v>6-10</v>
      </c>
      <c r="K527">
        <v>4.5999999999999996</v>
      </c>
      <c r="L527" t="s">
        <v>2086</v>
      </c>
      <c r="M527" s="1">
        <v>0.62</v>
      </c>
    </row>
    <row r="528" spans="1:13" x14ac:dyDescent="0.3">
      <c r="A528" t="s">
        <v>1127</v>
      </c>
      <c r="B528" t="s">
        <v>1128</v>
      </c>
      <c r="C528" t="s">
        <v>73</v>
      </c>
      <c r="D528">
        <v>38</v>
      </c>
      <c r="E528" t="s">
        <v>14</v>
      </c>
      <c r="F528" t="s">
        <v>15</v>
      </c>
      <c r="G528" t="s">
        <v>48</v>
      </c>
      <c r="H528">
        <v>9</v>
      </c>
      <c r="I528" t="str" cm="1">
        <f t="array" ref="I528">_xlfn.IFS(H528&lt;=5, "0-5", H528&lt;=10, "6-10", H528&lt;=15, "11-15", H528&lt;=20, "16-20", H528&gt;20, "21+")</f>
        <v>6-10</v>
      </c>
      <c r="J528">
        <v>40</v>
      </c>
      <c r="K528">
        <v>4.9000000000000004</v>
      </c>
      <c r="L528" t="s">
        <v>2085</v>
      </c>
      <c r="M528" s="1">
        <v>0.74</v>
      </c>
    </row>
    <row r="529" spans="1:13" x14ac:dyDescent="0.3">
      <c r="A529" t="s">
        <v>1129</v>
      </c>
      <c r="B529" t="s">
        <v>1130</v>
      </c>
      <c r="C529" t="s">
        <v>93</v>
      </c>
      <c r="D529">
        <v>26</v>
      </c>
      <c r="E529" t="s">
        <v>184</v>
      </c>
      <c r="F529" t="s">
        <v>68</v>
      </c>
      <c r="G529" t="s">
        <v>16</v>
      </c>
      <c r="H529">
        <v>22</v>
      </c>
      <c r="I529" t="str" cm="1">
        <f t="array" ref="I529">_xlfn.IFS(H529&lt;=5, "0-5", H529&lt;=10, "6-10", H529&lt;=15, "11-15", H529&lt;=20, "16-20", H529&gt;20, "21+")</f>
        <v>21+</v>
      </c>
      <c r="J529">
        <v>20</v>
      </c>
      <c r="K529">
        <v>0</v>
      </c>
      <c r="L529" t="s">
        <v>2086</v>
      </c>
    </row>
    <row r="530" spans="1:13" x14ac:dyDescent="0.3">
      <c r="A530" t="s">
        <v>1131</v>
      </c>
      <c r="B530" t="s">
        <v>1132</v>
      </c>
      <c r="C530" t="s">
        <v>73</v>
      </c>
      <c r="D530">
        <v>40</v>
      </c>
      <c r="E530" t="s">
        <v>63</v>
      </c>
      <c r="F530" t="s">
        <v>21</v>
      </c>
      <c r="G530" t="s">
        <v>85</v>
      </c>
      <c r="H530">
        <v>0</v>
      </c>
      <c r="I530" t="str" cm="1">
        <f t="array" ref="I530">_xlfn.IFS(H530&lt;=5, "0-5", H530&lt;=10, "6-10", H530&lt;=15, "11-15", H530&lt;=20, "16-20", H530&gt;20, "21+")</f>
        <v>0-5</v>
      </c>
      <c r="J530">
        <v>30</v>
      </c>
      <c r="K530">
        <v>3.5</v>
      </c>
      <c r="M530" s="1">
        <v>0.98</v>
      </c>
    </row>
    <row r="531" spans="1:13" x14ac:dyDescent="0.3">
      <c r="A531" t="s">
        <v>1133</v>
      </c>
      <c r="B531" t="s">
        <v>1134</v>
      </c>
      <c r="C531" t="s">
        <v>93</v>
      </c>
      <c r="D531">
        <v>37</v>
      </c>
      <c r="E531" t="s">
        <v>27</v>
      </c>
      <c r="F531" t="s">
        <v>28</v>
      </c>
      <c r="G531" t="s">
        <v>110</v>
      </c>
      <c r="H531">
        <v>1</v>
      </c>
      <c r="I531" t="str" cm="1">
        <f t="array" ref="I531">_xlfn.IFS(H531&lt;=5, "0-5", H531&lt;=10, "6-10", H531&lt;=15, "11-15", H531&lt;=20, "16-20", H531&gt;20, "21+")</f>
        <v>0-5</v>
      </c>
      <c r="K531">
        <v>1.7</v>
      </c>
      <c r="L531" t="s">
        <v>2086</v>
      </c>
      <c r="M531" s="1">
        <v>0.63</v>
      </c>
    </row>
    <row r="532" spans="1:13" x14ac:dyDescent="0.3">
      <c r="A532" t="s">
        <v>1135</v>
      </c>
      <c r="B532" t="s">
        <v>1136</v>
      </c>
      <c r="C532" t="s">
        <v>93</v>
      </c>
      <c r="D532">
        <v>28</v>
      </c>
      <c r="E532" t="s">
        <v>123</v>
      </c>
      <c r="F532" t="s">
        <v>21</v>
      </c>
      <c r="G532" t="s">
        <v>16</v>
      </c>
      <c r="H532">
        <v>5</v>
      </c>
      <c r="I532" t="str" cm="1">
        <f t="array" ref="I532">_xlfn.IFS(H532&lt;=5, "0-5", H532&lt;=10, "6-10", H532&lt;=15, "11-15", H532&lt;=20, "16-20", H532&gt;20, "21+")</f>
        <v>0-5</v>
      </c>
      <c r="J532">
        <v>50</v>
      </c>
      <c r="K532">
        <v>0</v>
      </c>
      <c r="L532" t="s">
        <v>2086</v>
      </c>
      <c r="M532" s="1">
        <v>0.96</v>
      </c>
    </row>
    <row r="533" spans="1:13" x14ac:dyDescent="0.3">
      <c r="A533" t="s">
        <v>1137</v>
      </c>
      <c r="B533" t="s">
        <v>1138</v>
      </c>
      <c r="C533" t="s">
        <v>73</v>
      </c>
      <c r="D533">
        <v>48</v>
      </c>
      <c r="E533" t="s">
        <v>89</v>
      </c>
      <c r="F533" t="s">
        <v>90</v>
      </c>
      <c r="G533" t="s">
        <v>22</v>
      </c>
      <c r="H533">
        <v>0</v>
      </c>
      <c r="I533" t="str" cm="1">
        <f t="array" ref="I533">_xlfn.IFS(H533&lt;=5, "0-5", H533&lt;=10, "6-10", H533&lt;=15, "11-15", H533&lt;=20, "16-20", H533&gt;20, "21+")</f>
        <v>0-5</v>
      </c>
      <c r="J533">
        <v>20</v>
      </c>
      <c r="K533">
        <v>0</v>
      </c>
      <c r="L533" t="s">
        <v>2085</v>
      </c>
      <c r="M533" s="1">
        <v>0.88</v>
      </c>
    </row>
    <row r="534" spans="1:13" x14ac:dyDescent="0.3">
      <c r="A534" t="s">
        <v>1139</v>
      </c>
      <c r="B534" t="s">
        <v>1140</v>
      </c>
      <c r="C534" t="s">
        <v>93</v>
      </c>
      <c r="D534">
        <v>22</v>
      </c>
      <c r="E534" t="s">
        <v>89</v>
      </c>
      <c r="F534" t="s">
        <v>90</v>
      </c>
      <c r="G534" t="s">
        <v>42</v>
      </c>
      <c r="H534">
        <v>0</v>
      </c>
      <c r="I534" t="str" cm="1">
        <f t="array" ref="I534">_xlfn.IFS(H534&lt;=5, "0-5", H534&lt;=10, "6-10", H534&lt;=15, "11-15", H534&lt;=20, "16-20", H534&gt;20, "21+")</f>
        <v>0-5</v>
      </c>
      <c r="K534">
        <v>4.5999999999999996</v>
      </c>
      <c r="L534" t="s">
        <v>2085</v>
      </c>
    </row>
    <row r="535" spans="1:13" x14ac:dyDescent="0.3">
      <c r="A535" t="s">
        <v>1141</v>
      </c>
      <c r="B535" t="s">
        <v>1142</v>
      </c>
      <c r="C535" t="s">
        <v>73</v>
      </c>
      <c r="D535">
        <v>41</v>
      </c>
      <c r="E535" t="s">
        <v>27</v>
      </c>
      <c r="F535" t="s">
        <v>28</v>
      </c>
      <c r="G535" t="s">
        <v>34</v>
      </c>
      <c r="H535">
        <v>19</v>
      </c>
      <c r="I535" t="str" cm="1">
        <f t="array" ref="I535">_xlfn.IFS(H535&lt;=5, "0-5", H535&lt;=10, "6-10", H535&lt;=15, "11-15", H535&lt;=20, "16-20", H535&gt;20, "21+")</f>
        <v>16-20</v>
      </c>
      <c r="J535">
        <v>40</v>
      </c>
      <c r="K535">
        <v>1.1000000000000001</v>
      </c>
      <c r="L535" t="s">
        <v>2086</v>
      </c>
      <c r="M535" s="1">
        <v>0.73</v>
      </c>
    </row>
    <row r="536" spans="1:13" x14ac:dyDescent="0.3">
      <c r="A536" t="s">
        <v>1143</v>
      </c>
      <c r="B536" t="s">
        <v>1144</v>
      </c>
      <c r="C536" t="s">
        <v>93</v>
      </c>
      <c r="D536">
        <v>38</v>
      </c>
      <c r="E536" t="s">
        <v>55</v>
      </c>
      <c r="F536" t="s">
        <v>21</v>
      </c>
      <c r="G536" t="s">
        <v>29</v>
      </c>
      <c r="H536">
        <v>2</v>
      </c>
      <c r="I536" t="str" cm="1">
        <f t="array" ref="I536">_xlfn.IFS(H536&lt;=5, "0-5", H536&lt;=10, "6-10", H536&lt;=15, "11-15", H536&lt;=20, "16-20", H536&gt;20, "21+")</f>
        <v>0-5</v>
      </c>
      <c r="K536">
        <v>4.2</v>
      </c>
      <c r="L536" t="s">
        <v>2085</v>
      </c>
      <c r="M536" s="1">
        <v>0.88</v>
      </c>
    </row>
    <row r="537" spans="1:13" x14ac:dyDescent="0.3">
      <c r="A537" t="s">
        <v>1145</v>
      </c>
      <c r="B537" t="s">
        <v>2105</v>
      </c>
      <c r="C537" t="s">
        <v>73</v>
      </c>
      <c r="D537">
        <v>31</v>
      </c>
      <c r="E537" t="s">
        <v>148</v>
      </c>
      <c r="F537" t="s">
        <v>149</v>
      </c>
      <c r="G537" t="s">
        <v>69</v>
      </c>
      <c r="H537">
        <v>0</v>
      </c>
      <c r="I537" t="str" cm="1">
        <f t="array" ref="I537">_xlfn.IFS(H537&lt;=5, "0-5", H537&lt;=10, "6-10", H537&lt;=15, "11-15", H537&lt;=20, "16-20", H537&gt;20, "21+")</f>
        <v>0-5</v>
      </c>
      <c r="K537">
        <v>0</v>
      </c>
      <c r="L537" t="s">
        <v>2085</v>
      </c>
      <c r="M537" s="1">
        <v>0.91</v>
      </c>
    </row>
    <row r="538" spans="1:13" x14ac:dyDescent="0.3">
      <c r="A538" t="s">
        <v>1147</v>
      </c>
      <c r="B538" t="s">
        <v>1148</v>
      </c>
      <c r="C538" t="s">
        <v>73</v>
      </c>
      <c r="D538">
        <v>30</v>
      </c>
      <c r="E538" t="s">
        <v>169</v>
      </c>
      <c r="F538" t="s">
        <v>170</v>
      </c>
      <c r="G538" t="s">
        <v>22</v>
      </c>
      <c r="H538">
        <v>2</v>
      </c>
      <c r="I538" t="str" cm="1">
        <f t="array" ref="I538">_xlfn.IFS(H538&lt;=5, "0-5", H538&lt;=10, "6-10", H538&lt;=15, "11-15", H538&lt;=20, "16-20", H538&gt;20, "21+")</f>
        <v>0-5</v>
      </c>
      <c r="J538">
        <v>30</v>
      </c>
      <c r="K538">
        <v>3.9</v>
      </c>
      <c r="L538" t="s">
        <v>2085</v>
      </c>
      <c r="M538" s="1">
        <v>0.65</v>
      </c>
    </row>
    <row r="539" spans="1:13" x14ac:dyDescent="0.3">
      <c r="A539" t="s">
        <v>1149</v>
      </c>
      <c r="B539" t="s">
        <v>1150</v>
      </c>
      <c r="C539" t="s">
        <v>93</v>
      </c>
      <c r="D539">
        <v>51</v>
      </c>
      <c r="E539" t="s">
        <v>173</v>
      </c>
      <c r="F539" t="s">
        <v>68</v>
      </c>
      <c r="G539" t="s">
        <v>69</v>
      </c>
      <c r="H539">
        <v>0</v>
      </c>
      <c r="I539" t="str" cm="1">
        <f t="array" ref="I539">_xlfn.IFS(H539&lt;=5, "0-5", H539&lt;=10, "6-10", H539&lt;=15, "11-15", H539&lt;=20, "16-20", H539&gt;20, "21+")</f>
        <v>0-5</v>
      </c>
      <c r="J539">
        <v>20</v>
      </c>
      <c r="K539">
        <v>3.4</v>
      </c>
      <c r="L539" t="s">
        <v>2086</v>
      </c>
      <c r="M539" s="1">
        <v>0.9</v>
      </c>
    </row>
    <row r="540" spans="1:13" x14ac:dyDescent="0.3">
      <c r="A540" t="s">
        <v>1151</v>
      </c>
      <c r="B540" t="s">
        <v>1152</v>
      </c>
      <c r="C540" t="s">
        <v>73</v>
      </c>
      <c r="D540">
        <v>21</v>
      </c>
      <c r="E540" t="s">
        <v>27</v>
      </c>
      <c r="F540" t="s">
        <v>28</v>
      </c>
      <c r="G540" t="s">
        <v>85</v>
      </c>
      <c r="H540">
        <v>1</v>
      </c>
      <c r="I540" t="str" cm="1">
        <f t="array" ref="I540">_xlfn.IFS(H540&lt;=5, "0-5", H540&lt;=10, "6-10", H540&lt;=15, "11-15", H540&lt;=20, "16-20", H540&gt;20, "21+")</f>
        <v>0-5</v>
      </c>
      <c r="J540">
        <v>20</v>
      </c>
      <c r="K540">
        <v>2.6</v>
      </c>
      <c r="L540" t="s">
        <v>2085</v>
      </c>
      <c r="M540" s="1">
        <v>0.72</v>
      </c>
    </row>
    <row r="541" spans="1:13" x14ac:dyDescent="0.3">
      <c r="A541" t="s">
        <v>1153</v>
      </c>
      <c r="B541" t="s">
        <v>1154</v>
      </c>
      <c r="C541" t="s">
        <v>73</v>
      </c>
      <c r="D541">
        <v>20</v>
      </c>
      <c r="E541" t="s">
        <v>14</v>
      </c>
      <c r="F541" t="s">
        <v>15</v>
      </c>
      <c r="G541" t="s">
        <v>85</v>
      </c>
      <c r="H541">
        <v>3</v>
      </c>
      <c r="I541" t="str" cm="1">
        <f t="array" ref="I541">_xlfn.IFS(H541&lt;=5, "0-5", H541&lt;=10, "6-10", H541&lt;=15, "11-15", H541&lt;=20, "16-20", H541&gt;20, "21+")</f>
        <v>0-5</v>
      </c>
      <c r="J541">
        <v>40</v>
      </c>
      <c r="K541">
        <v>2.2999999999999998</v>
      </c>
      <c r="L541" t="s">
        <v>2086</v>
      </c>
      <c r="M541" s="1">
        <v>0.72</v>
      </c>
    </row>
    <row r="542" spans="1:13" x14ac:dyDescent="0.3">
      <c r="A542" t="s">
        <v>1155</v>
      </c>
      <c r="B542" t="s">
        <v>1156</v>
      </c>
      <c r="C542" t="s">
        <v>93</v>
      </c>
      <c r="D542">
        <v>30</v>
      </c>
      <c r="E542" t="s">
        <v>81</v>
      </c>
      <c r="F542" t="s">
        <v>82</v>
      </c>
      <c r="G542" t="s">
        <v>16</v>
      </c>
      <c r="I542" t="str" cm="1">
        <f t="array" ref="I542">_xlfn.IFS(H542&lt;=5, "0-5", H542&lt;=10, "6-10", H542&lt;=15, "11-15", H542&lt;=20, "16-20", H542&gt;20, "21+")</f>
        <v>0-5</v>
      </c>
      <c r="J542">
        <v>30</v>
      </c>
      <c r="K542">
        <v>4.8</v>
      </c>
      <c r="L542" t="s">
        <v>2085</v>
      </c>
    </row>
    <row r="543" spans="1:13" x14ac:dyDescent="0.3">
      <c r="A543" t="s">
        <v>1157</v>
      </c>
      <c r="B543" t="s">
        <v>1158</v>
      </c>
      <c r="C543" t="s">
        <v>93</v>
      </c>
      <c r="D543">
        <v>41</v>
      </c>
      <c r="E543" t="s">
        <v>169</v>
      </c>
      <c r="F543" t="s">
        <v>170</v>
      </c>
      <c r="G543" t="s">
        <v>48</v>
      </c>
      <c r="H543">
        <v>1</v>
      </c>
      <c r="I543" t="str" cm="1">
        <f t="array" ref="I543">_xlfn.IFS(H543&lt;=5, "0-5", H543&lt;=10, "6-10", H543&lt;=15, "11-15", H543&lt;=20, "16-20", H543&gt;20, "21+")</f>
        <v>0-5</v>
      </c>
      <c r="J543">
        <v>40</v>
      </c>
      <c r="K543">
        <v>4.5</v>
      </c>
      <c r="L543" t="s">
        <v>2085</v>
      </c>
      <c r="M543" s="1">
        <v>0.68</v>
      </c>
    </row>
    <row r="544" spans="1:13" x14ac:dyDescent="0.3">
      <c r="A544" t="s">
        <v>1159</v>
      </c>
      <c r="B544" t="s">
        <v>1160</v>
      </c>
      <c r="C544" t="s">
        <v>93</v>
      </c>
      <c r="D544">
        <v>22</v>
      </c>
      <c r="E544" t="s">
        <v>184</v>
      </c>
      <c r="F544" t="s">
        <v>68</v>
      </c>
      <c r="G544" t="s">
        <v>16</v>
      </c>
      <c r="H544">
        <v>0</v>
      </c>
      <c r="I544" t="str" cm="1">
        <f t="array" ref="I544">_xlfn.IFS(H544&lt;=5, "0-5", H544&lt;=10, "6-10", H544&lt;=15, "11-15", H544&lt;=20, "16-20", H544&gt;20, "21+")</f>
        <v>0-5</v>
      </c>
      <c r="J544">
        <v>30</v>
      </c>
      <c r="K544">
        <v>0</v>
      </c>
      <c r="L544" t="s">
        <v>2085</v>
      </c>
      <c r="M544" s="1">
        <v>0.87</v>
      </c>
    </row>
    <row r="545" spans="1:13" x14ac:dyDescent="0.3">
      <c r="A545" t="s">
        <v>1161</v>
      </c>
      <c r="B545" t="s">
        <v>1162</v>
      </c>
      <c r="C545" t="s">
        <v>93</v>
      </c>
      <c r="D545">
        <v>45</v>
      </c>
      <c r="E545" t="s">
        <v>173</v>
      </c>
      <c r="F545" t="s">
        <v>68</v>
      </c>
      <c r="G545" t="s">
        <v>74</v>
      </c>
      <c r="H545">
        <v>7</v>
      </c>
      <c r="I545" t="str" cm="1">
        <f t="array" ref="I545">_xlfn.IFS(H545&lt;=5, "0-5", H545&lt;=10, "6-10", H545&lt;=15, "11-15", H545&lt;=20, "16-20", H545&gt;20, "21+")</f>
        <v>6-10</v>
      </c>
      <c r="J545">
        <v>75</v>
      </c>
      <c r="K545">
        <v>0</v>
      </c>
      <c r="L545" t="s">
        <v>2085</v>
      </c>
      <c r="M545" s="1">
        <v>0.72</v>
      </c>
    </row>
    <row r="546" spans="1:13" x14ac:dyDescent="0.3">
      <c r="A546" t="s">
        <v>1163</v>
      </c>
      <c r="B546" t="s">
        <v>1164</v>
      </c>
      <c r="C546" t="s">
        <v>73</v>
      </c>
      <c r="D546">
        <v>22</v>
      </c>
      <c r="E546" t="s">
        <v>20</v>
      </c>
      <c r="F546" t="s">
        <v>21</v>
      </c>
      <c r="G546" t="s">
        <v>48</v>
      </c>
      <c r="H546">
        <v>1</v>
      </c>
      <c r="I546" t="str" cm="1">
        <f t="array" ref="I546">_xlfn.IFS(H546&lt;=5, "0-5", H546&lt;=10, "6-10", H546&lt;=15, "11-15", H546&lt;=20, "16-20", H546&gt;20, "21+")</f>
        <v>0-5</v>
      </c>
      <c r="J546">
        <v>40</v>
      </c>
      <c r="K546">
        <v>1.1000000000000001</v>
      </c>
      <c r="L546" t="s">
        <v>2085</v>
      </c>
      <c r="M546" s="1">
        <v>0.76</v>
      </c>
    </row>
    <row r="547" spans="1:13" x14ac:dyDescent="0.3">
      <c r="A547" t="s">
        <v>1165</v>
      </c>
      <c r="B547" t="s">
        <v>1166</v>
      </c>
      <c r="C547" t="s">
        <v>73</v>
      </c>
      <c r="D547">
        <v>20</v>
      </c>
      <c r="E547" t="s">
        <v>59</v>
      </c>
      <c r="F547" t="s">
        <v>60</v>
      </c>
      <c r="G547" t="s">
        <v>22</v>
      </c>
      <c r="H547">
        <v>21</v>
      </c>
      <c r="I547" t="str" cm="1">
        <f t="array" ref="I547">_xlfn.IFS(H547&lt;=5, "0-5", H547&lt;=10, "6-10", H547&lt;=15, "11-15", H547&lt;=20, "16-20", H547&gt;20, "21+")</f>
        <v>21+</v>
      </c>
      <c r="J547">
        <v>100</v>
      </c>
      <c r="K547">
        <v>0</v>
      </c>
      <c r="L547" t="s">
        <v>2085</v>
      </c>
      <c r="M547" s="1">
        <v>0.63</v>
      </c>
    </row>
    <row r="548" spans="1:13" x14ac:dyDescent="0.3">
      <c r="A548" t="s">
        <v>1167</v>
      </c>
      <c r="B548" t="s">
        <v>1168</v>
      </c>
      <c r="C548" t="s">
        <v>73</v>
      </c>
      <c r="D548">
        <v>20</v>
      </c>
      <c r="E548" t="s">
        <v>123</v>
      </c>
      <c r="F548" t="s">
        <v>21</v>
      </c>
      <c r="G548" t="s">
        <v>48</v>
      </c>
      <c r="H548">
        <v>1</v>
      </c>
      <c r="I548" t="str" cm="1">
        <f t="array" ref="I548">_xlfn.IFS(H548&lt;=5, "0-5", H548&lt;=10, "6-10", H548&lt;=15, "11-15", H548&lt;=20, "16-20", H548&gt;20, "21+")</f>
        <v>0-5</v>
      </c>
      <c r="J548">
        <v>40</v>
      </c>
      <c r="L548" t="s">
        <v>2086</v>
      </c>
      <c r="M548" s="1">
        <v>0.91</v>
      </c>
    </row>
    <row r="549" spans="1:13" x14ac:dyDescent="0.3">
      <c r="A549" t="s">
        <v>1169</v>
      </c>
      <c r="B549" t="s">
        <v>1170</v>
      </c>
      <c r="C549" t="s">
        <v>93</v>
      </c>
      <c r="D549">
        <v>21</v>
      </c>
      <c r="E549" t="s">
        <v>63</v>
      </c>
      <c r="F549" t="s">
        <v>21</v>
      </c>
      <c r="G549" t="s">
        <v>42</v>
      </c>
      <c r="H549">
        <v>15</v>
      </c>
      <c r="I549" t="str" cm="1">
        <f t="array" ref="I549">_xlfn.IFS(H549&lt;=5, "0-5", H549&lt;=10, "6-10", H549&lt;=15, "11-15", H549&lt;=20, "16-20", H549&gt;20, "21+")</f>
        <v>11-15</v>
      </c>
      <c r="J549">
        <v>100</v>
      </c>
      <c r="L549" t="s">
        <v>2085</v>
      </c>
      <c r="M549" s="1">
        <v>0.73</v>
      </c>
    </row>
    <row r="550" spans="1:13" x14ac:dyDescent="0.3">
      <c r="A550" t="s">
        <v>1171</v>
      </c>
      <c r="B550" t="s">
        <v>1172</v>
      </c>
      <c r="C550" t="s">
        <v>93</v>
      </c>
      <c r="D550">
        <v>22</v>
      </c>
      <c r="E550" t="s">
        <v>40</v>
      </c>
      <c r="F550" t="s">
        <v>41</v>
      </c>
      <c r="G550" t="s">
        <v>74</v>
      </c>
      <c r="H550">
        <v>33</v>
      </c>
      <c r="I550" t="str" cm="1">
        <f t="array" ref="I550">_xlfn.IFS(H550&lt;=5, "0-5", H550&lt;=10, "6-10", H550&lt;=15, "11-15", H550&lt;=20, "16-20", H550&gt;20, "21+")</f>
        <v>21+</v>
      </c>
      <c r="J550">
        <v>40</v>
      </c>
      <c r="K550">
        <v>0</v>
      </c>
      <c r="L550" t="s">
        <v>2085</v>
      </c>
      <c r="M550" s="1">
        <v>0.63</v>
      </c>
    </row>
    <row r="551" spans="1:13" x14ac:dyDescent="0.3">
      <c r="A551" t="s">
        <v>1173</v>
      </c>
      <c r="B551" t="s">
        <v>1174</v>
      </c>
      <c r="C551" t="s">
        <v>73</v>
      </c>
      <c r="D551">
        <v>28</v>
      </c>
      <c r="E551" t="s">
        <v>63</v>
      </c>
      <c r="F551" t="s">
        <v>21</v>
      </c>
      <c r="G551" t="s">
        <v>85</v>
      </c>
      <c r="H551">
        <v>39</v>
      </c>
      <c r="I551" t="str" cm="1">
        <f t="array" ref="I551">_xlfn.IFS(H551&lt;=5, "0-5", H551&lt;=10, "6-10", H551&lt;=15, "11-15", H551&lt;=20, "16-20", H551&gt;20, "21+")</f>
        <v>21+</v>
      </c>
      <c r="J551">
        <v>20</v>
      </c>
      <c r="L551" t="s">
        <v>2086</v>
      </c>
      <c r="M551" s="1">
        <v>0.79</v>
      </c>
    </row>
    <row r="552" spans="1:13" x14ac:dyDescent="0.3">
      <c r="A552" t="s">
        <v>1175</v>
      </c>
      <c r="B552" t="s">
        <v>1176</v>
      </c>
      <c r="C552" t="s">
        <v>73</v>
      </c>
      <c r="D552">
        <v>59</v>
      </c>
      <c r="E552" t="s">
        <v>67</v>
      </c>
      <c r="F552" t="s">
        <v>68</v>
      </c>
      <c r="G552" t="s">
        <v>42</v>
      </c>
      <c r="H552">
        <v>21</v>
      </c>
      <c r="I552" t="str" cm="1">
        <f t="array" ref="I552">_xlfn.IFS(H552&lt;=5, "0-5", H552&lt;=10, "6-10", H552&lt;=15, "11-15", H552&lt;=20, "16-20", H552&gt;20, "21+")</f>
        <v>21+</v>
      </c>
      <c r="J552">
        <v>20</v>
      </c>
      <c r="K552">
        <v>4.0999999999999996</v>
      </c>
      <c r="L552" t="s">
        <v>2085</v>
      </c>
      <c r="M552" s="1">
        <v>0.75</v>
      </c>
    </row>
    <row r="553" spans="1:13" x14ac:dyDescent="0.3">
      <c r="A553" t="s">
        <v>1177</v>
      </c>
      <c r="B553" t="s">
        <v>2106</v>
      </c>
      <c r="C553" t="s">
        <v>73</v>
      </c>
      <c r="D553">
        <v>28</v>
      </c>
      <c r="E553" t="s">
        <v>130</v>
      </c>
      <c r="F553" t="s">
        <v>131</v>
      </c>
      <c r="G553" t="s">
        <v>34</v>
      </c>
      <c r="H553">
        <v>5</v>
      </c>
      <c r="I553" t="str" cm="1">
        <f t="array" ref="I553">_xlfn.IFS(H553&lt;=5, "0-5", H553&lt;=10, "6-10", H553&lt;=15, "11-15", H553&lt;=20, "16-20", H553&gt;20, "21+")</f>
        <v>0-5</v>
      </c>
      <c r="K553">
        <v>0</v>
      </c>
      <c r="L553" t="s">
        <v>2085</v>
      </c>
      <c r="M553" s="1">
        <v>0.7</v>
      </c>
    </row>
    <row r="554" spans="1:13" x14ac:dyDescent="0.3">
      <c r="A554" t="s">
        <v>1179</v>
      </c>
      <c r="B554" t="s">
        <v>1180</v>
      </c>
      <c r="C554" t="s">
        <v>73</v>
      </c>
      <c r="D554">
        <v>40</v>
      </c>
      <c r="E554" t="s">
        <v>20</v>
      </c>
      <c r="F554" t="s">
        <v>21</v>
      </c>
      <c r="G554" t="s">
        <v>85</v>
      </c>
      <c r="H554">
        <v>11</v>
      </c>
      <c r="I554" t="str" cm="1">
        <f t="array" ref="I554">_xlfn.IFS(H554&lt;=5, "0-5", H554&lt;=10, "6-10", H554&lt;=15, "11-15", H554&lt;=20, "16-20", H554&gt;20, "21+")</f>
        <v>11-15</v>
      </c>
      <c r="J554">
        <v>100</v>
      </c>
      <c r="K554">
        <v>1.2</v>
      </c>
      <c r="M554" s="1">
        <v>0.87</v>
      </c>
    </row>
    <row r="555" spans="1:13" x14ac:dyDescent="0.3">
      <c r="A555" t="s">
        <v>1181</v>
      </c>
      <c r="B555" t="s">
        <v>1182</v>
      </c>
      <c r="C555" t="s">
        <v>93</v>
      </c>
      <c r="D555">
        <v>57</v>
      </c>
      <c r="E555" t="s">
        <v>14</v>
      </c>
      <c r="F555" t="s">
        <v>15</v>
      </c>
      <c r="G555" t="s">
        <v>16</v>
      </c>
      <c r="H555">
        <v>0</v>
      </c>
      <c r="I555" t="str" cm="1">
        <f t="array" ref="I555">_xlfn.IFS(H555&lt;=5, "0-5", H555&lt;=10, "6-10", H555&lt;=15, "11-15", H555&lt;=20, "16-20", H555&gt;20, "21+")</f>
        <v>0-5</v>
      </c>
      <c r="J555">
        <v>30</v>
      </c>
      <c r="K555">
        <v>1.6</v>
      </c>
      <c r="L555" t="s">
        <v>2085</v>
      </c>
    </row>
    <row r="556" spans="1:13" x14ac:dyDescent="0.3">
      <c r="A556" t="s">
        <v>1183</v>
      </c>
      <c r="B556" t="s">
        <v>1184</v>
      </c>
      <c r="C556" t="s">
        <v>93</v>
      </c>
      <c r="D556">
        <v>47</v>
      </c>
      <c r="E556" t="s">
        <v>59</v>
      </c>
      <c r="F556" t="s">
        <v>60</v>
      </c>
      <c r="G556" t="s">
        <v>85</v>
      </c>
      <c r="H556">
        <v>15</v>
      </c>
      <c r="I556" t="str" cm="1">
        <f t="array" ref="I556">_xlfn.IFS(H556&lt;=5, "0-5", H556&lt;=10, "6-10", H556&lt;=15, "11-15", H556&lt;=20, "16-20", H556&gt;20, "21+")</f>
        <v>11-15</v>
      </c>
      <c r="J556">
        <v>50</v>
      </c>
      <c r="K556">
        <v>3.9</v>
      </c>
      <c r="L556" t="s">
        <v>2086</v>
      </c>
      <c r="M556" s="1">
        <v>0.88</v>
      </c>
    </row>
    <row r="557" spans="1:13" x14ac:dyDescent="0.3">
      <c r="A557" t="s">
        <v>1185</v>
      </c>
      <c r="B557" t="s">
        <v>1186</v>
      </c>
      <c r="C557" t="s">
        <v>93</v>
      </c>
      <c r="D557">
        <v>48</v>
      </c>
      <c r="E557" t="s">
        <v>108</v>
      </c>
      <c r="F557" t="s">
        <v>109</v>
      </c>
      <c r="G557" t="s">
        <v>74</v>
      </c>
      <c r="H557">
        <v>22</v>
      </c>
      <c r="I557" t="str" cm="1">
        <f t="array" ref="I557">_xlfn.IFS(H557&lt;=5, "0-5", H557&lt;=10, "6-10", H557&lt;=15, "11-15", H557&lt;=20, "16-20", H557&gt;20, "21+")</f>
        <v>21+</v>
      </c>
      <c r="J557">
        <v>40</v>
      </c>
      <c r="K557">
        <v>0</v>
      </c>
      <c r="L557" t="s">
        <v>2086</v>
      </c>
    </row>
    <row r="558" spans="1:13" x14ac:dyDescent="0.3">
      <c r="A558" t="s">
        <v>1187</v>
      </c>
      <c r="B558" t="s">
        <v>1188</v>
      </c>
      <c r="C558" t="s">
        <v>93</v>
      </c>
      <c r="D558">
        <v>28</v>
      </c>
      <c r="E558" t="s">
        <v>55</v>
      </c>
      <c r="F558" t="s">
        <v>21</v>
      </c>
      <c r="G558" t="s">
        <v>69</v>
      </c>
      <c r="H558">
        <v>3</v>
      </c>
      <c r="I558" t="str" cm="1">
        <f t="array" ref="I558">_xlfn.IFS(H558&lt;=5, "0-5", H558&lt;=10, "6-10", H558&lt;=15, "11-15", H558&lt;=20, "16-20", H558&gt;20, "21+")</f>
        <v>0-5</v>
      </c>
      <c r="J558">
        <v>20</v>
      </c>
      <c r="K558">
        <v>4.7</v>
      </c>
      <c r="L558" t="s">
        <v>2085</v>
      </c>
      <c r="M558" s="1">
        <v>0.93</v>
      </c>
    </row>
    <row r="559" spans="1:13" x14ac:dyDescent="0.3">
      <c r="A559" t="s">
        <v>1189</v>
      </c>
      <c r="B559" t="s">
        <v>1190</v>
      </c>
      <c r="C559" t="s">
        <v>93</v>
      </c>
      <c r="D559">
        <v>41</v>
      </c>
      <c r="E559" t="s">
        <v>59</v>
      </c>
      <c r="F559" t="s">
        <v>60</v>
      </c>
      <c r="G559" t="s">
        <v>29</v>
      </c>
      <c r="H559">
        <v>11</v>
      </c>
      <c r="I559" t="str" cm="1">
        <f t="array" ref="I559">_xlfn.IFS(H559&lt;=5, "0-5", H559&lt;=10, "6-10", H559&lt;=15, "11-15", H559&lt;=20, "16-20", H559&gt;20, "21+")</f>
        <v>11-15</v>
      </c>
      <c r="K559">
        <v>3.8</v>
      </c>
      <c r="L559" t="s">
        <v>2086</v>
      </c>
    </row>
    <row r="560" spans="1:13" x14ac:dyDescent="0.3">
      <c r="A560" t="s">
        <v>1191</v>
      </c>
      <c r="B560" t="s">
        <v>1192</v>
      </c>
      <c r="C560" t="s">
        <v>73</v>
      </c>
      <c r="D560">
        <v>57</v>
      </c>
      <c r="E560" t="s">
        <v>148</v>
      </c>
      <c r="F560" t="s">
        <v>149</v>
      </c>
      <c r="G560" t="s">
        <v>74</v>
      </c>
      <c r="H560">
        <v>5</v>
      </c>
      <c r="I560" t="str" cm="1">
        <f t="array" ref="I560">_xlfn.IFS(H560&lt;=5, "0-5", H560&lt;=10, "6-10", H560&lt;=15, "11-15", H560&lt;=20, "16-20", H560&gt;20, "21+")</f>
        <v>0-5</v>
      </c>
      <c r="J560">
        <v>100</v>
      </c>
      <c r="K560">
        <v>3.5</v>
      </c>
      <c r="L560" t="s">
        <v>2085</v>
      </c>
      <c r="M560" s="1">
        <v>0.74</v>
      </c>
    </row>
    <row r="561" spans="1:13" x14ac:dyDescent="0.3">
      <c r="A561" t="s">
        <v>1193</v>
      </c>
      <c r="B561" t="s">
        <v>1194</v>
      </c>
      <c r="C561" t="s">
        <v>93</v>
      </c>
      <c r="D561">
        <v>60</v>
      </c>
      <c r="E561" t="s">
        <v>67</v>
      </c>
      <c r="F561" t="s">
        <v>68</v>
      </c>
      <c r="G561" t="s">
        <v>29</v>
      </c>
      <c r="H561">
        <v>3</v>
      </c>
      <c r="I561" t="str" cm="1">
        <f t="array" ref="I561">_xlfn.IFS(H561&lt;=5, "0-5", H561&lt;=10, "6-10", H561&lt;=15, "11-15", H561&lt;=20, "16-20", H561&gt;20, "21+")</f>
        <v>0-5</v>
      </c>
      <c r="J561">
        <v>75</v>
      </c>
      <c r="K561">
        <v>4</v>
      </c>
      <c r="M561" s="1">
        <v>0.7</v>
      </c>
    </row>
    <row r="562" spans="1:13" x14ac:dyDescent="0.3">
      <c r="A562" t="s">
        <v>1195</v>
      </c>
      <c r="B562" t="s">
        <v>1196</v>
      </c>
      <c r="C562" t="s">
        <v>73</v>
      </c>
      <c r="D562">
        <v>48</v>
      </c>
      <c r="E562" t="s">
        <v>134</v>
      </c>
      <c r="F562" t="s">
        <v>135</v>
      </c>
      <c r="G562" t="s">
        <v>29</v>
      </c>
      <c r="H562">
        <v>1</v>
      </c>
      <c r="I562" t="str" cm="1">
        <f t="array" ref="I562">_xlfn.IFS(H562&lt;=5, "0-5", H562&lt;=10, "6-10", H562&lt;=15, "11-15", H562&lt;=20, "16-20", H562&gt;20, "21+")</f>
        <v>0-5</v>
      </c>
      <c r="J562">
        <v>30</v>
      </c>
      <c r="K562">
        <v>1.6</v>
      </c>
      <c r="L562" t="s">
        <v>2086</v>
      </c>
      <c r="M562" s="1">
        <v>0.67</v>
      </c>
    </row>
    <row r="563" spans="1:13" x14ac:dyDescent="0.3">
      <c r="A563" t="s">
        <v>1197</v>
      </c>
      <c r="B563" t="s">
        <v>1198</v>
      </c>
      <c r="C563" t="s">
        <v>73</v>
      </c>
      <c r="D563">
        <v>24</v>
      </c>
      <c r="E563" t="s">
        <v>130</v>
      </c>
      <c r="F563" t="s">
        <v>131</v>
      </c>
      <c r="G563" t="s">
        <v>74</v>
      </c>
      <c r="H563">
        <v>1</v>
      </c>
      <c r="I563" t="str" cm="1">
        <f t="array" ref="I563">_xlfn.IFS(H563&lt;=5, "0-5", H563&lt;=10, "6-10", H563&lt;=15, "11-15", H563&lt;=20, "16-20", H563&gt;20, "21+")</f>
        <v>0-5</v>
      </c>
      <c r="J563">
        <v>40</v>
      </c>
      <c r="K563">
        <v>3</v>
      </c>
      <c r="L563" t="s">
        <v>2085</v>
      </c>
      <c r="M563" s="1">
        <v>0.86</v>
      </c>
    </row>
    <row r="564" spans="1:13" x14ac:dyDescent="0.3">
      <c r="A564" t="s">
        <v>1199</v>
      </c>
      <c r="B564" t="s">
        <v>1200</v>
      </c>
      <c r="C564" t="s">
        <v>73</v>
      </c>
      <c r="D564">
        <v>33</v>
      </c>
      <c r="E564" t="s">
        <v>173</v>
      </c>
      <c r="F564" t="s">
        <v>68</v>
      </c>
      <c r="G564" t="s">
        <v>85</v>
      </c>
      <c r="H564">
        <v>2</v>
      </c>
      <c r="I564" t="str" cm="1">
        <f t="array" ref="I564">_xlfn.IFS(H564&lt;=5, "0-5", H564&lt;=10, "6-10", H564&lt;=15, "11-15", H564&lt;=20, "16-20", H564&gt;20, "21+")</f>
        <v>0-5</v>
      </c>
      <c r="J564">
        <v>50</v>
      </c>
      <c r="K564">
        <v>5</v>
      </c>
      <c r="L564" t="s">
        <v>2086</v>
      </c>
      <c r="M564" s="1">
        <v>0.69</v>
      </c>
    </row>
    <row r="565" spans="1:13" x14ac:dyDescent="0.3">
      <c r="A565" t="s">
        <v>1201</v>
      </c>
      <c r="B565" t="s">
        <v>1202</v>
      </c>
      <c r="C565" t="s">
        <v>73</v>
      </c>
      <c r="D565">
        <v>20</v>
      </c>
      <c r="E565" t="s">
        <v>59</v>
      </c>
      <c r="F565" t="s">
        <v>60</v>
      </c>
      <c r="G565" t="s">
        <v>29</v>
      </c>
      <c r="H565">
        <v>3</v>
      </c>
      <c r="I565" t="str" cm="1">
        <f t="array" ref="I565">_xlfn.IFS(H565&lt;=5, "0-5", H565&lt;=10, "6-10", H565&lt;=15, "11-15", H565&lt;=20, "16-20", H565&gt;20, "21+")</f>
        <v>0-5</v>
      </c>
      <c r="J565">
        <v>30</v>
      </c>
      <c r="K565">
        <v>4.8</v>
      </c>
      <c r="L565" t="s">
        <v>2086</v>
      </c>
      <c r="M565" s="1">
        <v>0.68</v>
      </c>
    </row>
    <row r="566" spans="1:13" x14ac:dyDescent="0.3">
      <c r="A566" t="s">
        <v>1203</v>
      </c>
      <c r="B566" t="s">
        <v>1204</v>
      </c>
      <c r="C566" t="s">
        <v>93</v>
      </c>
      <c r="D566">
        <v>59</v>
      </c>
      <c r="E566" t="s">
        <v>63</v>
      </c>
      <c r="F566" t="s">
        <v>21</v>
      </c>
      <c r="G566" t="s">
        <v>85</v>
      </c>
      <c r="H566">
        <v>11</v>
      </c>
      <c r="I566" t="str" cm="1">
        <f t="array" ref="I566">_xlfn.IFS(H566&lt;=5, "0-5", H566&lt;=10, "6-10", H566&lt;=15, "11-15", H566&lt;=20, "16-20", H566&gt;20, "21+")</f>
        <v>11-15</v>
      </c>
      <c r="J566">
        <v>50</v>
      </c>
      <c r="L566" t="s">
        <v>2085</v>
      </c>
    </row>
    <row r="567" spans="1:13" x14ac:dyDescent="0.3">
      <c r="A567" t="s">
        <v>1205</v>
      </c>
      <c r="B567" t="s">
        <v>1206</v>
      </c>
      <c r="C567" t="s">
        <v>73</v>
      </c>
      <c r="D567">
        <v>42</v>
      </c>
      <c r="E567" t="s">
        <v>169</v>
      </c>
      <c r="F567" t="s">
        <v>170</v>
      </c>
      <c r="G567" t="s">
        <v>85</v>
      </c>
      <c r="I567" t="str" cm="1">
        <f t="array" ref="I567">_xlfn.IFS(H567&lt;=5, "0-5", H567&lt;=10, "6-10", H567&lt;=15, "11-15", H567&lt;=20, "16-20", H567&gt;20, "21+")</f>
        <v>0-5</v>
      </c>
      <c r="K567">
        <v>2.9</v>
      </c>
      <c r="L567" t="s">
        <v>2085</v>
      </c>
      <c r="M567" s="1">
        <v>0.61</v>
      </c>
    </row>
    <row r="568" spans="1:13" x14ac:dyDescent="0.3">
      <c r="A568" t="s">
        <v>1207</v>
      </c>
      <c r="B568" t="s">
        <v>1208</v>
      </c>
      <c r="C568" t="s">
        <v>73</v>
      </c>
      <c r="D568">
        <v>22</v>
      </c>
      <c r="E568" t="s">
        <v>59</v>
      </c>
      <c r="F568" t="s">
        <v>60</v>
      </c>
      <c r="G568" t="s">
        <v>69</v>
      </c>
      <c r="H568">
        <v>2</v>
      </c>
      <c r="I568" t="str" cm="1">
        <f t="array" ref="I568">_xlfn.IFS(H568&lt;=5, "0-5", H568&lt;=10, "6-10", H568&lt;=15, "11-15", H568&lt;=20, "16-20", H568&gt;20, "21+")</f>
        <v>0-5</v>
      </c>
      <c r="K568">
        <v>3</v>
      </c>
      <c r="L568" t="s">
        <v>2086</v>
      </c>
      <c r="M568" s="1">
        <v>0.96</v>
      </c>
    </row>
    <row r="569" spans="1:13" x14ac:dyDescent="0.3">
      <c r="A569" t="s">
        <v>1209</v>
      </c>
      <c r="B569" t="s">
        <v>1210</v>
      </c>
      <c r="C569" t="s">
        <v>93</v>
      </c>
      <c r="D569">
        <v>41</v>
      </c>
      <c r="E569" t="s">
        <v>123</v>
      </c>
      <c r="F569" t="s">
        <v>21</v>
      </c>
      <c r="G569" t="s">
        <v>74</v>
      </c>
      <c r="H569">
        <v>20</v>
      </c>
      <c r="I569" t="str" cm="1">
        <f t="array" ref="I569">_xlfn.IFS(H569&lt;=5, "0-5", H569&lt;=10, "6-10", H569&lt;=15, "11-15", H569&lt;=20, "16-20", H569&gt;20, "21+")</f>
        <v>16-20</v>
      </c>
      <c r="J569">
        <v>50</v>
      </c>
      <c r="K569">
        <v>3.5</v>
      </c>
      <c r="L569" t="s">
        <v>2086</v>
      </c>
      <c r="M569" s="1">
        <v>0.68</v>
      </c>
    </row>
    <row r="570" spans="1:13" x14ac:dyDescent="0.3">
      <c r="A570" t="s">
        <v>1211</v>
      </c>
      <c r="B570" t="s">
        <v>1212</v>
      </c>
      <c r="C570" t="s">
        <v>73</v>
      </c>
      <c r="D570">
        <v>25</v>
      </c>
      <c r="E570" t="s">
        <v>67</v>
      </c>
      <c r="F570" t="s">
        <v>68</v>
      </c>
      <c r="G570" t="s">
        <v>34</v>
      </c>
      <c r="H570">
        <v>11</v>
      </c>
      <c r="I570" t="str" cm="1">
        <f t="array" ref="I570">_xlfn.IFS(H570&lt;=5, "0-5", H570&lt;=10, "6-10", H570&lt;=15, "11-15", H570&lt;=20, "16-20", H570&gt;20, "21+")</f>
        <v>11-15</v>
      </c>
      <c r="J570">
        <v>40</v>
      </c>
      <c r="L570" t="s">
        <v>2086</v>
      </c>
      <c r="M570" s="1">
        <v>0.75</v>
      </c>
    </row>
    <row r="571" spans="1:13" x14ac:dyDescent="0.3">
      <c r="A571" t="s">
        <v>1213</v>
      </c>
      <c r="B571" t="s">
        <v>1214</v>
      </c>
      <c r="C571" t="s">
        <v>73</v>
      </c>
      <c r="D571">
        <v>38</v>
      </c>
      <c r="E571" t="s">
        <v>123</v>
      </c>
      <c r="F571" t="s">
        <v>21</v>
      </c>
      <c r="G571" t="s">
        <v>69</v>
      </c>
      <c r="H571">
        <v>0</v>
      </c>
      <c r="I571" t="str" cm="1">
        <f t="array" ref="I571">_xlfn.IFS(H571&lt;=5, "0-5", H571&lt;=10, "6-10", H571&lt;=15, "11-15", H571&lt;=20, "16-20", H571&gt;20, "21+")</f>
        <v>0-5</v>
      </c>
      <c r="J571">
        <v>40</v>
      </c>
      <c r="K571">
        <v>4.7</v>
      </c>
      <c r="L571" t="s">
        <v>2085</v>
      </c>
      <c r="M571" s="1">
        <v>0.69</v>
      </c>
    </row>
    <row r="572" spans="1:13" x14ac:dyDescent="0.3">
      <c r="A572" t="s">
        <v>1215</v>
      </c>
      <c r="B572" t="s">
        <v>1216</v>
      </c>
      <c r="C572" t="s">
        <v>73</v>
      </c>
      <c r="D572">
        <v>43</v>
      </c>
      <c r="E572" t="s">
        <v>55</v>
      </c>
      <c r="F572" t="s">
        <v>21</v>
      </c>
      <c r="G572" t="s">
        <v>85</v>
      </c>
      <c r="H572">
        <v>20</v>
      </c>
      <c r="I572" t="str" cm="1">
        <f t="array" ref="I572">_xlfn.IFS(H572&lt;=5, "0-5", H572&lt;=10, "6-10", H572&lt;=15, "11-15", H572&lt;=20, "16-20", H572&gt;20, "21+")</f>
        <v>16-20</v>
      </c>
      <c r="K572">
        <v>2.9</v>
      </c>
      <c r="L572" t="s">
        <v>2085</v>
      </c>
      <c r="M572" s="1">
        <v>0.78</v>
      </c>
    </row>
    <row r="573" spans="1:13" x14ac:dyDescent="0.3">
      <c r="A573" t="s">
        <v>1217</v>
      </c>
      <c r="B573" t="s">
        <v>1218</v>
      </c>
      <c r="C573" t="s">
        <v>73</v>
      </c>
      <c r="D573">
        <v>54</v>
      </c>
      <c r="E573" t="s">
        <v>173</v>
      </c>
      <c r="F573" t="s">
        <v>68</v>
      </c>
      <c r="G573" t="s">
        <v>42</v>
      </c>
      <c r="H573">
        <v>3</v>
      </c>
      <c r="I573" t="str" cm="1">
        <f t="array" ref="I573">_xlfn.IFS(H573&lt;=5, "0-5", H573&lt;=10, "6-10", H573&lt;=15, "11-15", H573&lt;=20, "16-20", H573&gt;20, "21+")</f>
        <v>0-5</v>
      </c>
      <c r="J573">
        <v>75</v>
      </c>
      <c r="K573">
        <v>4.4000000000000004</v>
      </c>
      <c r="L573" t="s">
        <v>2086</v>
      </c>
    </row>
    <row r="574" spans="1:13" x14ac:dyDescent="0.3">
      <c r="A574" t="s">
        <v>1219</v>
      </c>
      <c r="B574" t="s">
        <v>1220</v>
      </c>
      <c r="C574" t="s">
        <v>73</v>
      </c>
      <c r="D574">
        <v>31</v>
      </c>
      <c r="E574" t="s">
        <v>46</v>
      </c>
      <c r="F574" t="s">
        <v>47</v>
      </c>
      <c r="G574" t="s">
        <v>22</v>
      </c>
      <c r="H574">
        <v>28</v>
      </c>
      <c r="I574" t="str" cm="1">
        <f t="array" ref="I574">_xlfn.IFS(H574&lt;=5, "0-5", H574&lt;=10, "6-10", H574&lt;=15, "11-15", H574&lt;=20, "16-20", H574&gt;20, "21+")</f>
        <v>21+</v>
      </c>
      <c r="J574">
        <v>40</v>
      </c>
      <c r="K574">
        <v>2.2999999999999998</v>
      </c>
      <c r="L574" t="s">
        <v>2085</v>
      </c>
      <c r="M574" s="1">
        <v>0.98</v>
      </c>
    </row>
    <row r="575" spans="1:13" x14ac:dyDescent="0.3">
      <c r="A575" t="s">
        <v>1221</v>
      </c>
      <c r="B575" t="s">
        <v>1222</v>
      </c>
      <c r="C575" t="s">
        <v>73</v>
      </c>
      <c r="D575">
        <v>56</v>
      </c>
      <c r="E575" t="s">
        <v>173</v>
      </c>
      <c r="F575" t="s">
        <v>68</v>
      </c>
      <c r="G575" t="s">
        <v>42</v>
      </c>
      <c r="H575">
        <v>0</v>
      </c>
      <c r="I575" t="str" cm="1">
        <f t="array" ref="I575">_xlfn.IFS(H575&lt;=5, "0-5", H575&lt;=10, "6-10", H575&lt;=15, "11-15", H575&lt;=20, "16-20", H575&gt;20, "21+")</f>
        <v>0-5</v>
      </c>
      <c r="J575">
        <v>30</v>
      </c>
      <c r="K575">
        <v>3.7</v>
      </c>
      <c r="M575" s="1">
        <v>0.83</v>
      </c>
    </row>
    <row r="576" spans="1:13" x14ac:dyDescent="0.3">
      <c r="A576" t="s">
        <v>1223</v>
      </c>
      <c r="B576" t="s">
        <v>1224</v>
      </c>
      <c r="C576" t="s">
        <v>93</v>
      </c>
      <c r="D576">
        <v>46</v>
      </c>
      <c r="E576" t="s">
        <v>173</v>
      </c>
      <c r="F576" t="s">
        <v>68</v>
      </c>
      <c r="G576" t="s">
        <v>29</v>
      </c>
      <c r="H576">
        <v>4</v>
      </c>
      <c r="I576" t="str" cm="1">
        <f t="array" ref="I576">_xlfn.IFS(H576&lt;=5, "0-5", H576&lt;=10, "6-10", H576&lt;=15, "11-15", H576&lt;=20, "16-20", H576&gt;20, "21+")</f>
        <v>0-5</v>
      </c>
      <c r="K576">
        <v>1.8</v>
      </c>
      <c r="L576" t="s">
        <v>2086</v>
      </c>
      <c r="M576" s="1">
        <v>0.91</v>
      </c>
    </row>
    <row r="577" spans="1:13" x14ac:dyDescent="0.3">
      <c r="A577" t="s">
        <v>1225</v>
      </c>
      <c r="B577" t="s">
        <v>1226</v>
      </c>
      <c r="C577" t="s">
        <v>93</v>
      </c>
      <c r="D577">
        <v>60</v>
      </c>
      <c r="E577" t="s">
        <v>134</v>
      </c>
      <c r="F577" t="s">
        <v>135</v>
      </c>
      <c r="G577" t="s">
        <v>42</v>
      </c>
      <c r="H577">
        <v>9</v>
      </c>
      <c r="I577" t="str" cm="1">
        <f t="array" ref="I577">_xlfn.IFS(H577&lt;=5, "0-5", H577&lt;=10, "6-10", H577&lt;=15, "11-15", H577&lt;=20, "16-20", H577&gt;20, "21+")</f>
        <v>6-10</v>
      </c>
      <c r="J577">
        <v>100</v>
      </c>
      <c r="K577">
        <v>0</v>
      </c>
      <c r="L577" t="s">
        <v>2086</v>
      </c>
      <c r="M577" s="1">
        <v>0.96</v>
      </c>
    </row>
    <row r="578" spans="1:13" x14ac:dyDescent="0.3">
      <c r="A578" t="s">
        <v>1227</v>
      </c>
      <c r="B578" t="s">
        <v>1228</v>
      </c>
      <c r="C578" t="s">
        <v>73</v>
      </c>
      <c r="D578">
        <v>28</v>
      </c>
      <c r="E578" t="s">
        <v>108</v>
      </c>
      <c r="F578" t="s">
        <v>109</v>
      </c>
      <c r="G578" t="s">
        <v>29</v>
      </c>
      <c r="H578">
        <v>2</v>
      </c>
      <c r="I578" t="str" cm="1">
        <f t="array" ref="I578">_xlfn.IFS(H578&lt;=5, "0-5", H578&lt;=10, "6-10", H578&lt;=15, "11-15", H578&lt;=20, "16-20", H578&gt;20, "21+")</f>
        <v>0-5</v>
      </c>
      <c r="J578">
        <v>50</v>
      </c>
      <c r="L578" t="s">
        <v>2086</v>
      </c>
      <c r="M578" s="1">
        <v>0.85</v>
      </c>
    </row>
    <row r="579" spans="1:13" x14ac:dyDescent="0.3">
      <c r="A579" t="s">
        <v>1229</v>
      </c>
      <c r="B579" t="s">
        <v>1230</v>
      </c>
      <c r="C579" t="s">
        <v>73</v>
      </c>
      <c r="D579">
        <v>43</v>
      </c>
      <c r="E579" t="s">
        <v>46</v>
      </c>
      <c r="F579" t="s">
        <v>47</v>
      </c>
      <c r="G579" t="s">
        <v>34</v>
      </c>
      <c r="H579">
        <v>1</v>
      </c>
      <c r="I579" t="str" cm="1">
        <f t="array" ref="I579">_xlfn.IFS(H579&lt;=5, "0-5", H579&lt;=10, "6-10", H579&lt;=15, "11-15", H579&lt;=20, "16-20", H579&gt;20, "21+")</f>
        <v>0-5</v>
      </c>
      <c r="J579">
        <v>30</v>
      </c>
      <c r="K579">
        <v>2.7</v>
      </c>
      <c r="L579" t="s">
        <v>2085</v>
      </c>
      <c r="M579" s="1">
        <v>0.72</v>
      </c>
    </row>
    <row r="580" spans="1:13" x14ac:dyDescent="0.3">
      <c r="A580" t="s">
        <v>1231</v>
      </c>
      <c r="B580" t="s">
        <v>1232</v>
      </c>
      <c r="C580" t="s">
        <v>93</v>
      </c>
      <c r="D580">
        <v>41</v>
      </c>
      <c r="E580" t="s">
        <v>130</v>
      </c>
      <c r="F580" t="s">
        <v>131</v>
      </c>
      <c r="G580" t="s">
        <v>34</v>
      </c>
      <c r="H580">
        <v>2</v>
      </c>
      <c r="I580" t="str" cm="1">
        <f t="array" ref="I580">_xlfn.IFS(H580&lt;=5, "0-5", H580&lt;=10, "6-10", H580&lt;=15, "11-15", H580&lt;=20, "16-20", H580&gt;20, "21+")</f>
        <v>0-5</v>
      </c>
      <c r="J580">
        <v>20</v>
      </c>
      <c r="K580">
        <v>4.7</v>
      </c>
      <c r="M580" s="1">
        <v>0.69</v>
      </c>
    </row>
    <row r="581" spans="1:13" x14ac:dyDescent="0.3">
      <c r="A581" t="s">
        <v>1233</v>
      </c>
      <c r="B581" t="s">
        <v>1234</v>
      </c>
      <c r="C581" t="s">
        <v>93</v>
      </c>
      <c r="D581">
        <v>41</v>
      </c>
      <c r="E581" t="s">
        <v>63</v>
      </c>
      <c r="F581" t="s">
        <v>21</v>
      </c>
      <c r="G581" t="s">
        <v>85</v>
      </c>
      <c r="H581">
        <v>16</v>
      </c>
      <c r="I581" t="str" cm="1">
        <f t="array" ref="I581">_xlfn.IFS(H581&lt;=5, "0-5", H581&lt;=10, "6-10", H581&lt;=15, "11-15", H581&lt;=20, "16-20", H581&gt;20, "21+")</f>
        <v>16-20</v>
      </c>
      <c r="J581">
        <v>20</v>
      </c>
      <c r="K581">
        <v>3.1</v>
      </c>
      <c r="L581" t="s">
        <v>2085</v>
      </c>
      <c r="M581" s="1">
        <v>0.9</v>
      </c>
    </row>
    <row r="582" spans="1:13" x14ac:dyDescent="0.3">
      <c r="A582" t="s">
        <v>1235</v>
      </c>
      <c r="B582" t="s">
        <v>1236</v>
      </c>
      <c r="C582" t="s">
        <v>73</v>
      </c>
      <c r="D582">
        <v>40</v>
      </c>
      <c r="E582" t="s">
        <v>63</v>
      </c>
      <c r="F582" t="s">
        <v>21</v>
      </c>
      <c r="G582" t="s">
        <v>22</v>
      </c>
      <c r="H582">
        <v>22</v>
      </c>
      <c r="I582" t="str" cm="1">
        <f t="array" ref="I582">_xlfn.IFS(H582&lt;=5, "0-5", H582&lt;=10, "6-10", H582&lt;=15, "11-15", H582&lt;=20, "16-20", H582&gt;20, "21+")</f>
        <v>21+</v>
      </c>
      <c r="J582">
        <v>20</v>
      </c>
      <c r="K582">
        <v>2.2999999999999998</v>
      </c>
      <c r="L582" t="s">
        <v>2085</v>
      </c>
      <c r="M582" s="1">
        <v>0.92</v>
      </c>
    </row>
    <row r="583" spans="1:13" x14ac:dyDescent="0.3">
      <c r="A583" t="s">
        <v>1237</v>
      </c>
      <c r="B583" t="s">
        <v>1238</v>
      </c>
      <c r="C583" t="s">
        <v>93</v>
      </c>
      <c r="D583">
        <v>45</v>
      </c>
      <c r="E583" t="s">
        <v>27</v>
      </c>
      <c r="F583" t="s">
        <v>28</v>
      </c>
      <c r="G583" t="s">
        <v>85</v>
      </c>
      <c r="H583">
        <v>22</v>
      </c>
      <c r="I583" t="str" cm="1">
        <f t="array" ref="I583">_xlfn.IFS(H583&lt;=5, "0-5", H583&lt;=10, "6-10", H583&lt;=15, "11-15", H583&lt;=20, "16-20", H583&gt;20, "21+")</f>
        <v>21+</v>
      </c>
      <c r="J583">
        <v>20</v>
      </c>
      <c r="K583">
        <v>1.3</v>
      </c>
      <c r="L583" t="s">
        <v>2086</v>
      </c>
      <c r="M583" s="1">
        <v>0.91</v>
      </c>
    </row>
    <row r="584" spans="1:13" x14ac:dyDescent="0.3">
      <c r="A584" t="s">
        <v>1239</v>
      </c>
      <c r="B584" t="s">
        <v>1240</v>
      </c>
      <c r="C584" t="s">
        <v>93</v>
      </c>
      <c r="D584">
        <v>47</v>
      </c>
      <c r="E584" t="s">
        <v>134</v>
      </c>
      <c r="F584" t="s">
        <v>135</v>
      </c>
      <c r="G584" t="s">
        <v>85</v>
      </c>
      <c r="H584">
        <v>5</v>
      </c>
      <c r="I584" t="str" cm="1">
        <f t="array" ref="I584">_xlfn.IFS(H584&lt;=5, "0-5", H584&lt;=10, "6-10", H584&lt;=15, "11-15", H584&lt;=20, "16-20", H584&gt;20, "21+")</f>
        <v>0-5</v>
      </c>
      <c r="J584">
        <v>50</v>
      </c>
      <c r="K584">
        <v>2.9</v>
      </c>
      <c r="L584" t="s">
        <v>2086</v>
      </c>
    </row>
    <row r="585" spans="1:13" x14ac:dyDescent="0.3">
      <c r="A585" t="s">
        <v>1241</v>
      </c>
      <c r="B585" t="s">
        <v>1242</v>
      </c>
      <c r="C585" t="s">
        <v>93</v>
      </c>
      <c r="D585">
        <v>34</v>
      </c>
      <c r="E585" t="s">
        <v>89</v>
      </c>
      <c r="F585" t="s">
        <v>90</v>
      </c>
      <c r="G585" t="s">
        <v>48</v>
      </c>
      <c r="H585">
        <v>2</v>
      </c>
      <c r="I585" t="str" cm="1">
        <f t="array" ref="I585">_xlfn.IFS(H585&lt;=5, "0-5", H585&lt;=10, "6-10", H585&lt;=15, "11-15", H585&lt;=20, "16-20", H585&gt;20, "21+")</f>
        <v>0-5</v>
      </c>
      <c r="J585">
        <v>40</v>
      </c>
      <c r="K585">
        <v>3.3</v>
      </c>
      <c r="L585" t="s">
        <v>2085</v>
      </c>
      <c r="M585" s="1">
        <v>0.98</v>
      </c>
    </row>
    <row r="586" spans="1:13" x14ac:dyDescent="0.3">
      <c r="A586" t="s">
        <v>1243</v>
      </c>
      <c r="B586" t="s">
        <v>1244</v>
      </c>
      <c r="C586" t="s">
        <v>93</v>
      </c>
      <c r="D586">
        <v>47</v>
      </c>
      <c r="E586" t="s">
        <v>55</v>
      </c>
      <c r="F586" t="s">
        <v>21</v>
      </c>
      <c r="G586" t="s">
        <v>69</v>
      </c>
      <c r="H586">
        <v>24</v>
      </c>
      <c r="I586" t="str" cm="1">
        <f t="array" ref="I586">_xlfn.IFS(H586&lt;=5, "0-5", H586&lt;=10, "6-10", H586&lt;=15, "11-15", H586&lt;=20, "16-20", H586&gt;20, "21+")</f>
        <v>21+</v>
      </c>
      <c r="J586">
        <v>20</v>
      </c>
      <c r="K586">
        <v>4.2</v>
      </c>
      <c r="M586" s="1">
        <v>0.82</v>
      </c>
    </row>
    <row r="587" spans="1:13" x14ac:dyDescent="0.3">
      <c r="A587" t="s">
        <v>1245</v>
      </c>
      <c r="B587" t="s">
        <v>1246</v>
      </c>
      <c r="C587" t="s">
        <v>93</v>
      </c>
      <c r="D587">
        <v>32</v>
      </c>
      <c r="E587" t="s">
        <v>173</v>
      </c>
      <c r="F587" t="s">
        <v>68</v>
      </c>
      <c r="G587" t="s">
        <v>69</v>
      </c>
      <c r="H587">
        <v>37</v>
      </c>
      <c r="I587" t="str" cm="1">
        <f t="array" ref="I587">_xlfn.IFS(H587&lt;=5, "0-5", H587&lt;=10, "6-10", H587&lt;=15, "11-15", H587&lt;=20, "16-20", H587&gt;20, "21+")</f>
        <v>21+</v>
      </c>
      <c r="J587">
        <v>40</v>
      </c>
      <c r="K587">
        <v>1.3</v>
      </c>
      <c r="L587" t="s">
        <v>2086</v>
      </c>
      <c r="M587" s="1">
        <v>0.83</v>
      </c>
    </row>
    <row r="588" spans="1:13" x14ac:dyDescent="0.3">
      <c r="A588" t="s">
        <v>1247</v>
      </c>
      <c r="B588" t="s">
        <v>1248</v>
      </c>
      <c r="C588" t="s">
        <v>93</v>
      </c>
      <c r="D588">
        <v>28</v>
      </c>
      <c r="E588" t="s">
        <v>63</v>
      </c>
      <c r="F588" t="s">
        <v>21</v>
      </c>
      <c r="G588" t="s">
        <v>22</v>
      </c>
      <c r="H588">
        <v>3</v>
      </c>
      <c r="I588" t="str" cm="1">
        <f t="array" ref="I588">_xlfn.IFS(H588&lt;=5, "0-5", H588&lt;=10, "6-10", H588&lt;=15, "11-15", H588&lt;=20, "16-20", H588&gt;20, "21+")</f>
        <v>0-5</v>
      </c>
      <c r="J588">
        <v>100</v>
      </c>
      <c r="K588">
        <v>4.4000000000000004</v>
      </c>
      <c r="L588" t="s">
        <v>2086</v>
      </c>
    </row>
    <row r="589" spans="1:13" x14ac:dyDescent="0.3">
      <c r="A589" t="s">
        <v>1249</v>
      </c>
      <c r="B589" t="s">
        <v>1250</v>
      </c>
      <c r="C589" t="s">
        <v>93</v>
      </c>
      <c r="D589">
        <v>32</v>
      </c>
      <c r="E589" t="s">
        <v>20</v>
      </c>
      <c r="F589" t="s">
        <v>21</v>
      </c>
      <c r="G589" t="s">
        <v>85</v>
      </c>
      <c r="H589">
        <v>18</v>
      </c>
      <c r="I589" t="str" cm="1">
        <f t="array" ref="I589">_xlfn.IFS(H589&lt;=5, "0-5", H589&lt;=10, "6-10", H589&lt;=15, "11-15", H589&lt;=20, "16-20", H589&gt;20, "21+")</f>
        <v>16-20</v>
      </c>
      <c r="J589">
        <v>100</v>
      </c>
      <c r="K589">
        <v>3.4</v>
      </c>
      <c r="L589" t="s">
        <v>2086</v>
      </c>
    </row>
    <row r="590" spans="1:13" x14ac:dyDescent="0.3">
      <c r="A590" t="s">
        <v>1251</v>
      </c>
      <c r="B590" t="s">
        <v>1252</v>
      </c>
      <c r="C590" t="s">
        <v>73</v>
      </c>
      <c r="D590">
        <v>49</v>
      </c>
      <c r="E590" t="s">
        <v>40</v>
      </c>
      <c r="F590" t="s">
        <v>41</v>
      </c>
      <c r="G590" t="s">
        <v>42</v>
      </c>
      <c r="H590">
        <v>6</v>
      </c>
      <c r="I590" t="str" cm="1">
        <f t="array" ref="I590">_xlfn.IFS(H590&lt;=5, "0-5", H590&lt;=10, "6-10", H590&lt;=15, "11-15", H590&lt;=20, "16-20", H590&gt;20, "21+")</f>
        <v>6-10</v>
      </c>
      <c r="J590">
        <v>100</v>
      </c>
      <c r="K590">
        <v>3.4</v>
      </c>
      <c r="L590" t="s">
        <v>2086</v>
      </c>
      <c r="M590" s="1">
        <v>0.85</v>
      </c>
    </row>
    <row r="591" spans="1:13" x14ac:dyDescent="0.3">
      <c r="A591" t="s">
        <v>1253</v>
      </c>
      <c r="B591" t="s">
        <v>1254</v>
      </c>
      <c r="C591" t="s">
        <v>73</v>
      </c>
      <c r="D591">
        <v>36</v>
      </c>
      <c r="E591" t="s">
        <v>67</v>
      </c>
      <c r="F591" t="s">
        <v>68</v>
      </c>
      <c r="G591" t="s">
        <v>22</v>
      </c>
      <c r="H591">
        <v>17</v>
      </c>
      <c r="I591" t="str" cm="1">
        <f t="array" ref="I591">_xlfn.IFS(H591&lt;=5, "0-5", H591&lt;=10, "6-10", H591&lt;=15, "11-15", H591&lt;=20, "16-20", H591&gt;20, "21+")</f>
        <v>16-20</v>
      </c>
      <c r="J591">
        <v>20</v>
      </c>
      <c r="K591">
        <v>3.2</v>
      </c>
    </row>
    <row r="592" spans="1:13" x14ac:dyDescent="0.3">
      <c r="A592" t="s">
        <v>1255</v>
      </c>
      <c r="B592" t="s">
        <v>1256</v>
      </c>
      <c r="C592" t="s">
        <v>93</v>
      </c>
      <c r="D592">
        <v>59</v>
      </c>
      <c r="E592" t="s">
        <v>173</v>
      </c>
      <c r="F592" t="s">
        <v>68</v>
      </c>
      <c r="G592" t="s">
        <v>16</v>
      </c>
      <c r="H592">
        <v>39</v>
      </c>
      <c r="I592" t="str" cm="1">
        <f t="array" ref="I592">_xlfn.IFS(H592&lt;=5, "0-5", H592&lt;=10, "6-10", H592&lt;=15, "11-15", H592&lt;=20, "16-20", H592&gt;20, "21+")</f>
        <v>21+</v>
      </c>
      <c r="J592">
        <v>20</v>
      </c>
      <c r="K592">
        <v>3.6</v>
      </c>
      <c r="L592" t="s">
        <v>2085</v>
      </c>
      <c r="M592" s="1">
        <v>0.63</v>
      </c>
    </row>
    <row r="593" spans="1:13" x14ac:dyDescent="0.3">
      <c r="A593" t="s">
        <v>1257</v>
      </c>
      <c r="B593" t="s">
        <v>1258</v>
      </c>
      <c r="C593" t="s">
        <v>73</v>
      </c>
      <c r="D593">
        <v>52</v>
      </c>
      <c r="E593" t="s">
        <v>123</v>
      </c>
      <c r="F593" t="s">
        <v>21</v>
      </c>
      <c r="G593" t="s">
        <v>74</v>
      </c>
      <c r="H593">
        <v>15</v>
      </c>
      <c r="I593" t="str" cm="1">
        <f t="array" ref="I593">_xlfn.IFS(H593&lt;=5, "0-5", H593&lt;=10, "6-10", H593&lt;=15, "11-15", H593&lt;=20, "16-20", H593&gt;20, "21+")</f>
        <v>11-15</v>
      </c>
      <c r="J593">
        <v>20</v>
      </c>
      <c r="K593">
        <v>0</v>
      </c>
      <c r="L593" t="s">
        <v>2085</v>
      </c>
    </row>
    <row r="594" spans="1:13" x14ac:dyDescent="0.3">
      <c r="A594" t="s">
        <v>1259</v>
      </c>
      <c r="B594" t="s">
        <v>1260</v>
      </c>
      <c r="C594" t="s">
        <v>73</v>
      </c>
      <c r="D594">
        <v>24</v>
      </c>
      <c r="E594" t="s">
        <v>169</v>
      </c>
      <c r="F594" t="s">
        <v>170</v>
      </c>
      <c r="G594" t="s">
        <v>16</v>
      </c>
      <c r="H594">
        <v>13</v>
      </c>
      <c r="I594" t="str" cm="1">
        <f t="array" ref="I594">_xlfn.IFS(H594&lt;=5, "0-5", H594&lt;=10, "6-10", H594&lt;=15, "11-15", H594&lt;=20, "16-20", H594&gt;20, "21+")</f>
        <v>11-15</v>
      </c>
      <c r="J594">
        <v>40</v>
      </c>
      <c r="K594">
        <v>1.8</v>
      </c>
      <c r="L594" t="s">
        <v>2086</v>
      </c>
      <c r="M594" s="1">
        <v>0.86</v>
      </c>
    </row>
    <row r="595" spans="1:13" x14ac:dyDescent="0.3">
      <c r="A595" t="s">
        <v>1261</v>
      </c>
      <c r="B595" t="s">
        <v>1262</v>
      </c>
      <c r="C595" t="s">
        <v>73</v>
      </c>
      <c r="D595">
        <v>26</v>
      </c>
      <c r="E595" t="s">
        <v>20</v>
      </c>
      <c r="F595" t="s">
        <v>21</v>
      </c>
      <c r="G595" t="s">
        <v>29</v>
      </c>
      <c r="H595">
        <v>17</v>
      </c>
      <c r="I595" t="str" cm="1">
        <f t="array" ref="I595">_xlfn.IFS(H595&lt;=5, "0-5", H595&lt;=10, "6-10", H595&lt;=15, "11-15", H595&lt;=20, "16-20", H595&gt;20, "21+")</f>
        <v>16-20</v>
      </c>
      <c r="J595">
        <v>75</v>
      </c>
      <c r="K595">
        <v>2.5</v>
      </c>
      <c r="L595" t="s">
        <v>2086</v>
      </c>
      <c r="M595" s="1">
        <v>0.6</v>
      </c>
    </row>
    <row r="596" spans="1:13" x14ac:dyDescent="0.3">
      <c r="A596" t="s">
        <v>1263</v>
      </c>
      <c r="B596" t="s">
        <v>1264</v>
      </c>
      <c r="C596" t="s">
        <v>93</v>
      </c>
      <c r="D596">
        <v>55</v>
      </c>
      <c r="E596" t="s">
        <v>123</v>
      </c>
      <c r="F596" t="s">
        <v>21</v>
      </c>
      <c r="G596" t="s">
        <v>74</v>
      </c>
      <c r="H596">
        <v>1</v>
      </c>
      <c r="I596" t="str" cm="1">
        <f t="array" ref="I596">_xlfn.IFS(H596&lt;=5, "0-5", H596&lt;=10, "6-10", H596&lt;=15, "11-15", H596&lt;=20, "16-20", H596&gt;20, "21+")</f>
        <v>0-5</v>
      </c>
      <c r="J596">
        <v>40</v>
      </c>
      <c r="K596">
        <v>2</v>
      </c>
      <c r="L596" t="s">
        <v>2086</v>
      </c>
      <c r="M596" s="1">
        <v>0.88</v>
      </c>
    </row>
    <row r="597" spans="1:13" x14ac:dyDescent="0.3">
      <c r="A597" t="s">
        <v>1265</v>
      </c>
      <c r="B597" t="s">
        <v>1266</v>
      </c>
      <c r="C597" t="s">
        <v>73</v>
      </c>
      <c r="D597">
        <v>56</v>
      </c>
      <c r="E597" t="s">
        <v>14</v>
      </c>
      <c r="F597" t="s">
        <v>15</v>
      </c>
      <c r="G597" t="s">
        <v>22</v>
      </c>
      <c r="H597">
        <v>16</v>
      </c>
      <c r="I597" t="str" cm="1">
        <f t="array" ref="I597">_xlfn.IFS(H597&lt;=5, "0-5", H597&lt;=10, "6-10", H597&lt;=15, "11-15", H597&lt;=20, "16-20", H597&gt;20, "21+")</f>
        <v>16-20</v>
      </c>
      <c r="J597">
        <v>40</v>
      </c>
      <c r="K597">
        <v>0</v>
      </c>
      <c r="L597" t="s">
        <v>2085</v>
      </c>
      <c r="M597" s="1">
        <v>0.7</v>
      </c>
    </row>
    <row r="598" spans="1:13" x14ac:dyDescent="0.3">
      <c r="A598" t="s">
        <v>1267</v>
      </c>
      <c r="B598" t="s">
        <v>1268</v>
      </c>
      <c r="C598" t="s">
        <v>93</v>
      </c>
      <c r="D598">
        <v>36</v>
      </c>
      <c r="E598" t="s">
        <v>130</v>
      </c>
      <c r="F598" t="s">
        <v>131</v>
      </c>
      <c r="G598" t="s">
        <v>29</v>
      </c>
      <c r="H598">
        <v>9</v>
      </c>
      <c r="I598" t="str" cm="1">
        <f t="array" ref="I598">_xlfn.IFS(H598&lt;=5, "0-5", H598&lt;=10, "6-10", H598&lt;=15, "11-15", H598&lt;=20, "16-20", H598&gt;20, "21+")</f>
        <v>6-10</v>
      </c>
      <c r="J598">
        <v>50</v>
      </c>
      <c r="K598">
        <v>1.3</v>
      </c>
      <c r="L598" t="s">
        <v>2086</v>
      </c>
      <c r="M598" s="1">
        <v>0.77</v>
      </c>
    </row>
    <row r="599" spans="1:13" x14ac:dyDescent="0.3">
      <c r="A599" t="s">
        <v>1269</v>
      </c>
      <c r="B599" t="s">
        <v>1270</v>
      </c>
      <c r="C599" t="s">
        <v>93</v>
      </c>
      <c r="D599">
        <v>48</v>
      </c>
      <c r="E599" t="s">
        <v>67</v>
      </c>
      <c r="F599" t="s">
        <v>68</v>
      </c>
      <c r="G599" t="s">
        <v>34</v>
      </c>
      <c r="H599">
        <v>20</v>
      </c>
      <c r="I599" t="str" cm="1">
        <f t="array" ref="I599">_xlfn.IFS(H599&lt;=5, "0-5", H599&lt;=10, "6-10", H599&lt;=15, "11-15", H599&lt;=20, "16-20", H599&gt;20, "21+")</f>
        <v>16-20</v>
      </c>
      <c r="J599">
        <v>75</v>
      </c>
      <c r="K599">
        <v>0</v>
      </c>
      <c r="L599" t="s">
        <v>2085</v>
      </c>
      <c r="M599" s="1">
        <v>0.8</v>
      </c>
    </row>
    <row r="600" spans="1:13" x14ac:dyDescent="0.3">
      <c r="A600" t="s">
        <v>1271</v>
      </c>
      <c r="B600" t="s">
        <v>1272</v>
      </c>
      <c r="C600" t="s">
        <v>93</v>
      </c>
      <c r="D600">
        <v>55</v>
      </c>
      <c r="E600" t="s">
        <v>134</v>
      </c>
      <c r="F600" t="s">
        <v>135</v>
      </c>
      <c r="G600" t="s">
        <v>110</v>
      </c>
      <c r="H600">
        <v>29</v>
      </c>
      <c r="I600" t="str" cm="1">
        <f t="array" ref="I600">_xlfn.IFS(H600&lt;=5, "0-5", H600&lt;=10, "6-10", H600&lt;=15, "11-15", H600&lt;=20, "16-20", H600&gt;20, "21+")</f>
        <v>21+</v>
      </c>
      <c r="J600">
        <v>40</v>
      </c>
      <c r="K600">
        <v>3.6</v>
      </c>
      <c r="L600" t="s">
        <v>2086</v>
      </c>
    </row>
    <row r="601" spans="1:13" x14ac:dyDescent="0.3">
      <c r="A601" t="s">
        <v>1273</v>
      </c>
      <c r="B601" t="s">
        <v>1274</v>
      </c>
      <c r="C601" t="s">
        <v>73</v>
      </c>
      <c r="D601">
        <v>56</v>
      </c>
      <c r="E601" t="s">
        <v>184</v>
      </c>
      <c r="F601" t="s">
        <v>68</v>
      </c>
      <c r="G601" t="s">
        <v>85</v>
      </c>
      <c r="H601">
        <v>21</v>
      </c>
      <c r="I601" t="str" cm="1">
        <f t="array" ref="I601">_xlfn.IFS(H601&lt;=5, "0-5", H601&lt;=10, "6-10", H601&lt;=15, "11-15", H601&lt;=20, "16-20", H601&gt;20, "21+")</f>
        <v>21+</v>
      </c>
      <c r="K601">
        <v>1.3</v>
      </c>
      <c r="M601" s="1">
        <v>0.87</v>
      </c>
    </row>
    <row r="602" spans="1:13" x14ac:dyDescent="0.3">
      <c r="A602" t="s">
        <v>1275</v>
      </c>
      <c r="B602" t="s">
        <v>2107</v>
      </c>
      <c r="C602" t="s">
        <v>73</v>
      </c>
      <c r="D602">
        <v>28</v>
      </c>
      <c r="E602" t="s">
        <v>123</v>
      </c>
      <c r="F602" t="s">
        <v>21</v>
      </c>
      <c r="G602" t="s">
        <v>16</v>
      </c>
      <c r="H602">
        <v>28</v>
      </c>
      <c r="I602" t="str" cm="1">
        <f t="array" ref="I602">_xlfn.IFS(H602&lt;=5, "0-5", H602&lt;=10, "6-10", H602&lt;=15, "11-15", H602&lt;=20, "16-20", H602&gt;20, "21+")</f>
        <v>21+</v>
      </c>
      <c r="J602">
        <v>75</v>
      </c>
      <c r="K602">
        <v>2.7</v>
      </c>
      <c r="L602" t="s">
        <v>2086</v>
      </c>
      <c r="M602" s="1">
        <v>0.93</v>
      </c>
    </row>
    <row r="603" spans="1:13" x14ac:dyDescent="0.3">
      <c r="A603" t="s">
        <v>1277</v>
      </c>
      <c r="B603" t="s">
        <v>1278</v>
      </c>
      <c r="C603" t="s">
        <v>93</v>
      </c>
      <c r="D603">
        <v>60</v>
      </c>
      <c r="E603" t="s">
        <v>55</v>
      </c>
      <c r="F603" t="s">
        <v>21</v>
      </c>
      <c r="G603" t="s">
        <v>42</v>
      </c>
      <c r="H603">
        <v>5</v>
      </c>
      <c r="I603" t="str" cm="1">
        <f t="array" ref="I603">_xlfn.IFS(H603&lt;=5, "0-5", H603&lt;=10, "6-10", H603&lt;=15, "11-15", H603&lt;=20, "16-20", H603&gt;20, "21+")</f>
        <v>0-5</v>
      </c>
      <c r="J603">
        <v>100</v>
      </c>
      <c r="K603">
        <v>1.5</v>
      </c>
      <c r="M603" s="1">
        <v>0.88</v>
      </c>
    </row>
    <row r="604" spans="1:13" x14ac:dyDescent="0.3">
      <c r="A604" t="s">
        <v>1279</v>
      </c>
      <c r="B604" t="s">
        <v>1280</v>
      </c>
      <c r="C604" t="s">
        <v>93</v>
      </c>
      <c r="D604">
        <v>34</v>
      </c>
      <c r="E604" t="s">
        <v>108</v>
      </c>
      <c r="F604" t="s">
        <v>109</v>
      </c>
      <c r="G604" t="s">
        <v>16</v>
      </c>
      <c r="H604">
        <v>0</v>
      </c>
      <c r="I604" t="str" cm="1">
        <f t="array" ref="I604">_xlfn.IFS(H604&lt;=5, "0-5", H604&lt;=10, "6-10", H604&lt;=15, "11-15", H604&lt;=20, "16-20", H604&gt;20, "21+")</f>
        <v>0-5</v>
      </c>
      <c r="J604">
        <v>20</v>
      </c>
      <c r="K604">
        <v>0</v>
      </c>
      <c r="L604" t="s">
        <v>2085</v>
      </c>
      <c r="M604" s="1">
        <v>1</v>
      </c>
    </row>
    <row r="605" spans="1:13" x14ac:dyDescent="0.3">
      <c r="A605" t="s">
        <v>1281</v>
      </c>
      <c r="B605" t="s">
        <v>1282</v>
      </c>
      <c r="C605" t="s">
        <v>73</v>
      </c>
      <c r="D605">
        <v>38</v>
      </c>
      <c r="E605" t="s">
        <v>46</v>
      </c>
      <c r="F605" t="s">
        <v>47</v>
      </c>
      <c r="G605" t="s">
        <v>42</v>
      </c>
      <c r="H605">
        <v>27</v>
      </c>
      <c r="I605" t="str" cm="1">
        <f t="array" ref="I605">_xlfn.IFS(H605&lt;=5, "0-5", H605&lt;=10, "6-10", H605&lt;=15, "11-15", H605&lt;=20, "16-20", H605&gt;20, "21+")</f>
        <v>21+</v>
      </c>
      <c r="J605">
        <v>40</v>
      </c>
      <c r="K605">
        <v>0</v>
      </c>
      <c r="L605" t="s">
        <v>2086</v>
      </c>
      <c r="M605" s="1">
        <v>0.61</v>
      </c>
    </row>
    <row r="606" spans="1:13" x14ac:dyDescent="0.3">
      <c r="A606" t="s">
        <v>1283</v>
      </c>
      <c r="B606" t="s">
        <v>1284</v>
      </c>
      <c r="C606" t="s">
        <v>73</v>
      </c>
      <c r="D606">
        <v>51</v>
      </c>
      <c r="E606" t="s">
        <v>108</v>
      </c>
      <c r="F606" t="s">
        <v>109</v>
      </c>
      <c r="G606" t="s">
        <v>34</v>
      </c>
      <c r="H606">
        <v>26</v>
      </c>
      <c r="I606" t="str" cm="1">
        <f t="array" ref="I606">_xlfn.IFS(H606&lt;=5, "0-5", H606&lt;=10, "6-10", H606&lt;=15, "11-15", H606&lt;=20, "16-20", H606&gt;20, "21+")</f>
        <v>21+</v>
      </c>
      <c r="J606">
        <v>100</v>
      </c>
      <c r="K606">
        <v>3</v>
      </c>
      <c r="L606" t="s">
        <v>2085</v>
      </c>
      <c r="M606" s="1">
        <v>0.79</v>
      </c>
    </row>
    <row r="607" spans="1:13" x14ac:dyDescent="0.3">
      <c r="A607" t="s">
        <v>1285</v>
      </c>
      <c r="B607" t="s">
        <v>1286</v>
      </c>
      <c r="C607" t="s">
        <v>73</v>
      </c>
      <c r="D607">
        <v>21</v>
      </c>
      <c r="E607" t="s">
        <v>81</v>
      </c>
      <c r="F607" t="s">
        <v>82</v>
      </c>
      <c r="G607" t="s">
        <v>22</v>
      </c>
      <c r="H607">
        <v>19</v>
      </c>
      <c r="I607" t="str" cm="1">
        <f t="array" ref="I607">_xlfn.IFS(H607&lt;=5, "0-5", H607&lt;=10, "6-10", H607&lt;=15, "11-15", H607&lt;=20, "16-20", H607&gt;20, "21+")</f>
        <v>16-20</v>
      </c>
      <c r="J607">
        <v>30</v>
      </c>
      <c r="K607">
        <v>1.2</v>
      </c>
      <c r="M607" s="1">
        <v>0.73</v>
      </c>
    </row>
    <row r="608" spans="1:13" x14ac:dyDescent="0.3">
      <c r="A608" t="s">
        <v>1287</v>
      </c>
      <c r="B608" t="s">
        <v>1288</v>
      </c>
      <c r="C608" t="s">
        <v>93</v>
      </c>
      <c r="D608">
        <v>35</v>
      </c>
      <c r="E608" t="s">
        <v>14</v>
      </c>
      <c r="F608" t="s">
        <v>15</v>
      </c>
      <c r="G608" t="s">
        <v>69</v>
      </c>
      <c r="H608">
        <v>24</v>
      </c>
      <c r="I608" t="str" cm="1">
        <f t="array" ref="I608">_xlfn.IFS(H608&lt;=5, "0-5", H608&lt;=10, "6-10", H608&lt;=15, "11-15", H608&lt;=20, "16-20", H608&gt;20, "21+")</f>
        <v>21+</v>
      </c>
      <c r="K608">
        <v>1.3</v>
      </c>
      <c r="L608" t="s">
        <v>2086</v>
      </c>
      <c r="M608" s="1">
        <v>0.64</v>
      </c>
    </row>
    <row r="609" spans="1:13" x14ac:dyDescent="0.3">
      <c r="A609" t="s">
        <v>1289</v>
      </c>
      <c r="B609" t="s">
        <v>1290</v>
      </c>
      <c r="C609" t="s">
        <v>93</v>
      </c>
      <c r="D609">
        <v>27</v>
      </c>
      <c r="E609" t="s">
        <v>103</v>
      </c>
      <c r="F609" t="s">
        <v>104</v>
      </c>
      <c r="G609" t="s">
        <v>34</v>
      </c>
      <c r="H609">
        <v>7</v>
      </c>
      <c r="I609" t="str" cm="1">
        <f t="array" ref="I609">_xlfn.IFS(H609&lt;=5, "0-5", H609&lt;=10, "6-10", H609&lt;=15, "11-15", H609&lt;=20, "16-20", H609&gt;20, "21+")</f>
        <v>6-10</v>
      </c>
      <c r="J609">
        <v>100</v>
      </c>
      <c r="L609" t="s">
        <v>2086</v>
      </c>
    </row>
    <row r="610" spans="1:13" x14ac:dyDescent="0.3">
      <c r="A610" t="s">
        <v>1291</v>
      </c>
      <c r="B610" t="s">
        <v>1292</v>
      </c>
      <c r="C610" t="s">
        <v>73</v>
      </c>
      <c r="D610">
        <v>42</v>
      </c>
      <c r="E610" t="s">
        <v>59</v>
      </c>
      <c r="F610" t="s">
        <v>60</v>
      </c>
      <c r="G610" t="s">
        <v>22</v>
      </c>
      <c r="H610">
        <v>13</v>
      </c>
      <c r="I610" t="str" cm="1">
        <f t="array" ref="I610">_xlfn.IFS(H610&lt;=5, "0-5", H610&lt;=10, "6-10", H610&lt;=15, "11-15", H610&lt;=20, "16-20", H610&gt;20, "21+")</f>
        <v>11-15</v>
      </c>
      <c r="J610">
        <v>50</v>
      </c>
      <c r="K610">
        <v>3.8</v>
      </c>
      <c r="L610" t="s">
        <v>2085</v>
      </c>
      <c r="M610" s="1">
        <v>0.93</v>
      </c>
    </row>
    <row r="611" spans="1:13" x14ac:dyDescent="0.3">
      <c r="A611" t="s">
        <v>1293</v>
      </c>
      <c r="B611" t="s">
        <v>1294</v>
      </c>
      <c r="C611" t="s">
        <v>73</v>
      </c>
      <c r="D611">
        <v>52</v>
      </c>
      <c r="E611" t="s">
        <v>123</v>
      </c>
      <c r="F611" t="s">
        <v>21</v>
      </c>
      <c r="G611" t="s">
        <v>16</v>
      </c>
      <c r="H611">
        <v>2</v>
      </c>
      <c r="I611" t="str" cm="1">
        <f t="array" ref="I611">_xlfn.IFS(H611&lt;=5, "0-5", H611&lt;=10, "6-10", H611&lt;=15, "11-15", H611&lt;=20, "16-20", H611&gt;20, "21+")</f>
        <v>0-5</v>
      </c>
      <c r="J611">
        <v>30</v>
      </c>
      <c r="K611">
        <v>3.8</v>
      </c>
      <c r="L611" t="s">
        <v>2085</v>
      </c>
      <c r="M611" s="1">
        <v>0.68</v>
      </c>
    </row>
    <row r="612" spans="1:13" x14ac:dyDescent="0.3">
      <c r="A612" t="s">
        <v>1295</v>
      </c>
      <c r="B612" t="s">
        <v>1296</v>
      </c>
      <c r="C612" t="s">
        <v>93</v>
      </c>
      <c r="D612">
        <v>53</v>
      </c>
      <c r="E612" t="s">
        <v>108</v>
      </c>
      <c r="F612" t="s">
        <v>109</v>
      </c>
      <c r="G612" t="s">
        <v>34</v>
      </c>
      <c r="H612">
        <v>37</v>
      </c>
      <c r="I612" t="str" cm="1">
        <f t="array" ref="I612">_xlfn.IFS(H612&lt;=5, "0-5", H612&lt;=10, "6-10", H612&lt;=15, "11-15", H612&lt;=20, "16-20", H612&gt;20, "21+")</f>
        <v>21+</v>
      </c>
      <c r="J612">
        <v>40</v>
      </c>
      <c r="K612">
        <v>4.7</v>
      </c>
      <c r="L612" t="s">
        <v>2086</v>
      </c>
      <c r="M612" s="1">
        <v>0.62</v>
      </c>
    </row>
    <row r="613" spans="1:13" x14ac:dyDescent="0.3">
      <c r="A613" t="s">
        <v>1297</v>
      </c>
      <c r="B613" t="s">
        <v>1298</v>
      </c>
      <c r="C613" t="s">
        <v>73</v>
      </c>
      <c r="D613">
        <v>54</v>
      </c>
      <c r="E613" t="s">
        <v>14</v>
      </c>
      <c r="F613" t="s">
        <v>15</v>
      </c>
      <c r="G613" t="s">
        <v>22</v>
      </c>
      <c r="H613">
        <v>1</v>
      </c>
      <c r="I613" t="str" cm="1">
        <f t="array" ref="I613">_xlfn.IFS(H613&lt;=5, "0-5", H613&lt;=10, "6-10", H613&lt;=15, "11-15", H613&lt;=20, "16-20", H613&gt;20, "21+")</f>
        <v>0-5</v>
      </c>
      <c r="J613">
        <v>40</v>
      </c>
      <c r="K613">
        <v>1.1000000000000001</v>
      </c>
      <c r="L613" t="s">
        <v>2085</v>
      </c>
    </row>
    <row r="614" spans="1:13" x14ac:dyDescent="0.3">
      <c r="A614" t="s">
        <v>1299</v>
      </c>
      <c r="B614" t="s">
        <v>1300</v>
      </c>
      <c r="C614" t="s">
        <v>93</v>
      </c>
      <c r="D614">
        <v>51</v>
      </c>
      <c r="E614" t="s">
        <v>81</v>
      </c>
      <c r="F614" t="s">
        <v>82</v>
      </c>
      <c r="G614" t="s">
        <v>29</v>
      </c>
      <c r="H614">
        <v>5</v>
      </c>
      <c r="I614" t="str" cm="1">
        <f t="array" ref="I614">_xlfn.IFS(H614&lt;=5, "0-5", H614&lt;=10, "6-10", H614&lt;=15, "11-15", H614&lt;=20, "16-20", H614&gt;20, "21+")</f>
        <v>0-5</v>
      </c>
      <c r="J614">
        <v>50</v>
      </c>
      <c r="K614">
        <v>4.2</v>
      </c>
      <c r="L614" t="s">
        <v>2086</v>
      </c>
      <c r="M614" s="1">
        <v>0.82</v>
      </c>
    </row>
    <row r="615" spans="1:13" x14ac:dyDescent="0.3">
      <c r="A615" t="s">
        <v>1301</v>
      </c>
      <c r="B615" t="s">
        <v>1302</v>
      </c>
      <c r="C615" t="s">
        <v>73</v>
      </c>
      <c r="D615">
        <v>30</v>
      </c>
      <c r="E615" t="s">
        <v>108</v>
      </c>
      <c r="F615" t="s">
        <v>109</v>
      </c>
      <c r="G615" t="s">
        <v>34</v>
      </c>
      <c r="H615">
        <v>1</v>
      </c>
      <c r="I615" t="str" cm="1">
        <f t="array" ref="I615">_xlfn.IFS(H615&lt;=5, "0-5", H615&lt;=10, "6-10", H615&lt;=15, "11-15", H615&lt;=20, "16-20", H615&gt;20, "21+")</f>
        <v>0-5</v>
      </c>
      <c r="K615">
        <v>0</v>
      </c>
      <c r="L615" t="s">
        <v>2085</v>
      </c>
    </row>
    <row r="616" spans="1:13" x14ac:dyDescent="0.3">
      <c r="A616" t="s">
        <v>1303</v>
      </c>
      <c r="B616" t="s">
        <v>1304</v>
      </c>
      <c r="C616" t="s">
        <v>73</v>
      </c>
      <c r="D616">
        <v>45</v>
      </c>
      <c r="E616" t="s">
        <v>40</v>
      </c>
      <c r="F616" t="s">
        <v>41</v>
      </c>
      <c r="G616" t="s">
        <v>110</v>
      </c>
      <c r="H616">
        <v>2</v>
      </c>
      <c r="I616" t="str" cm="1">
        <f t="array" ref="I616">_xlfn.IFS(H616&lt;=5, "0-5", H616&lt;=10, "6-10", H616&lt;=15, "11-15", H616&lt;=20, "16-20", H616&gt;20, "21+")</f>
        <v>0-5</v>
      </c>
      <c r="J616">
        <v>75</v>
      </c>
      <c r="K616">
        <v>0</v>
      </c>
      <c r="M616" s="1">
        <v>0.85</v>
      </c>
    </row>
    <row r="617" spans="1:13" x14ac:dyDescent="0.3">
      <c r="A617" t="s">
        <v>1305</v>
      </c>
      <c r="B617" t="s">
        <v>1306</v>
      </c>
      <c r="C617" t="s">
        <v>93</v>
      </c>
      <c r="D617">
        <v>57</v>
      </c>
      <c r="E617" t="s">
        <v>46</v>
      </c>
      <c r="F617" t="s">
        <v>47</v>
      </c>
      <c r="G617" t="s">
        <v>29</v>
      </c>
      <c r="I617" t="str" cm="1">
        <f t="array" ref="I617">_xlfn.IFS(H617&lt;=5, "0-5", H617&lt;=10, "6-10", H617&lt;=15, "11-15", H617&lt;=20, "16-20", H617&gt;20, "21+")</f>
        <v>0-5</v>
      </c>
      <c r="J617">
        <v>100</v>
      </c>
      <c r="K617">
        <v>2.4</v>
      </c>
      <c r="L617" t="s">
        <v>2086</v>
      </c>
      <c r="M617" s="1">
        <v>0.78</v>
      </c>
    </row>
    <row r="618" spans="1:13" x14ac:dyDescent="0.3">
      <c r="A618" t="s">
        <v>1307</v>
      </c>
      <c r="B618" t="s">
        <v>1308</v>
      </c>
      <c r="C618" t="s">
        <v>93</v>
      </c>
      <c r="D618">
        <v>38</v>
      </c>
      <c r="E618" t="s">
        <v>59</v>
      </c>
      <c r="F618" t="s">
        <v>60</v>
      </c>
      <c r="G618" t="s">
        <v>16</v>
      </c>
      <c r="H618">
        <v>0</v>
      </c>
      <c r="I618" t="str" cm="1">
        <f t="array" ref="I618">_xlfn.IFS(H618&lt;=5, "0-5", H618&lt;=10, "6-10", H618&lt;=15, "11-15", H618&lt;=20, "16-20", H618&gt;20, "21+")</f>
        <v>0-5</v>
      </c>
      <c r="J618">
        <v>40</v>
      </c>
      <c r="K618">
        <v>0</v>
      </c>
      <c r="L618" t="s">
        <v>2086</v>
      </c>
      <c r="M618" s="1">
        <v>0.86</v>
      </c>
    </row>
    <row r="619" spans="1:13" x14ac:dyDescent="0.3">
      <c r="A619" t="s">
        <v>1309</v>
      </c>
      <c r="B619" t="s">
        <v>1310</v>
      </c>
      <c r="C619" t="s">
        <v>73</v>
      </c>
      <c r="D619">
        <v>42</v>
      </c>
      <c r="E619" t="s">
        <v>119</v>
      </c>
      <c r="F619" t="s">
        <v>120</v>
      </c>
      <c r="G619" t="s">
        <v>85</v>
      </c>
      <c r="H619">
        <v>0</v>
      </c>
      <c r="I619" t="str" cm="1">
        <f t="array" ref="I619">_xlfn.IFS(H619&lt;=5, "0-5", H619&lt;=10, "6-10", H619&lt;=15, "11-15", H619&lt;=20, "16-20", H619&gt;20, "21+")</f>
        <v>0-5</v>
      </c>
      <c r="J619">
        <v>40</v>
      </c>
      <c r="L619" t="s">
        <v>2085</v>
      </c>
      <c r="M619" s="1">
        <v>0.88</v>
      </c>
    </row>
    <row r="620" spans="1:13" x14ac:dyDescent="0.3">
      <c r="A620" t="s">
        <v>1311</v>
      </c>
      <c r="B620" t="s">
        <v>1312</v>
      </c>
      <c r="C620" t="s">
        <v>73</v>
      </c>
      <c r="D620">
        <v>30</v>
      </c>
      <c r="E620" t="s">
        <v>148</v>
      </c>
      <c r="F620" t="s">
        <v>149</v>
      </c>
      <c r="G620" t="s">
        <v>85</v>
      </c>
      <c r="H620">
        <v>41</v>
      </c>
      <c r="I620" t="str" cm="1">
        <f t="array" ref="I620">_xlfn.IFS(H620&lt;=5, "0-5", H620&lt;=10, "6-10", H620&lt;=15, "11-15", H620&lt;=20, "16-20", H620&gt;20, "21+")</f>
        <v>21+</v>
      </c>
      <c r="J620">
        <v>30</v>
      </c>
      <c r="K620">
        <v>3.3</v>
      </c>
      <c r="M620" s="1">
        <v>0.68</v>
      </c>
    </row>
    <row r="621" spans="1:13" x14ac:dyDescent="0.3">
      <c r="A621" t="s">
        <v>1313</v>
      </c>
      <c r="B621" t="s">
        <v>1314</v>
      </c>
      <c r="C621" t="s">
        <v>73</v>
      </c>
      <c r="D621">
        <v>43</v>
      </c>
      <c r="E621" t="s">
        <v>20</v>
      </c>
      <c r="F621" t="s">
        <v>21</v>
      </c>
      <c r="G621" t="s">
        <v>34</v>
      </c>
      <c r="I621" t="str" cm="1">
        <f t="array" ref="I621">_xlfn.IFS(H621&lt;=5, "0-5", H621&lt;=10, "6-10", H621&lt;=15, "11-15", H621&lt;=20, "16-20", H621&gt;20, "21+")</f>
        <v>0-5</v>
      </c>
      <c r="J621">
        <v>100</v>
      </c>
      <c r="K621">
        <v>1.4</v>
      </c>
      <c r="L621" t="s">
        <v>2086</v>
      </c>
      <c r="M621" s="1">
        <v>0.97</v>
      </c>
    </row>
    <row r="622" spans="1:13" x14ac:dyDescent="0.3">
      <c r="A622" t="s">
        <v>1315</v>
      </c>
      <c r="B622" t="s">
        <v>1316</v>
      </c>
      <c r="C622" t="s">
        <v>93</v>
      </c>
      <c r="D622">
        <v>22</v>
      </c>
      <c r="E622" t="s">
        <v>134</v>
      </c>
      <c r="F622" t="s">
        <v>135</v>
      </c>
      <c r="G622" t="s">
        <v>69</v>
      </c>
      <c r="H622">
        <v>23</v>
      </c>
      <c r="I622" t="str" cm="1">
        <f t="array" ref="I622">_xlfn.IFS(H622&lt;=5, "0-5", H622&lt;=10, "6-10", H622&lt;=15, "11-15", H622&lt;=20, "16-20", H622&gt;20, "21+")</f>
        <v>21+</v>
      </c>
      <c r="J622">
        <v>75</v>
      </c>
      <c r="K622">
        <v>1.7</v>
      </c>
      <c r="L622" t="s">
        <v>2085</v>
      </c>
      <c r="M622" s="1">
        <v>0.91</v>
      </c>
    </row>
    <row r="623" spans="1:13" x14ac:dyDescent="0.3">
      <c r="A623" t="s">
        <v>1317</v>
      </c>
      <c r="B623" t="s">
        <v>1318</v>
      </c>
      <c r="C623" t="s">
        <v>93</v>
      </c>
      <c r="D623">
        <v>57</v>
      </c>
      <c r="E623" t="s">
        <v>173</v>
      </c>
      <c r="F623" t="s">
        <v>68</v>
      </c>
      <c r="G623" t="s">
        <v>110</v>
      </c>
      <c r="H623">
        <v>0</v>
      </c>
      <c r="I623" t="str" cm="1">
        <f t="array" ref="I623">_xlfn.IFS(H623&lt;=5, "0-5", H623&lt;=10, "6-10", H623&lt;=15, "11-15", H623&lt;=20, "16-20", H623&gt;20, "21+")</f>
        <v>0-5</v>
      </c>
      <c r="J623">
        <v>30</v>
      </c>
      <c r="K623">
        <v>4.8</v>
      </c>
      <c r="L623" t="s">
        <v>2085</v>
      </c>
    </row>
    <row r="624" spans="1:13" x14ac:dyDescent="0.3">
      <c r="A624" t="s">
        <v>1319</v>
      </c>
      <c r="B624" t="s">
        <v>1320</v>
      </c>
      <c r="C624" t="s">
        <v>93</v>
      </c>
      <c r="D624">
        <v>44</v>
      </c>
      <c r="E624" t="s">
        <v>63</v>
      </c>
      <c r="F624" t="s">
        <v>21</v>
      </c>
      <c r="G624" t="s">
        <v>29</v>
      </c>
      <c r="H624">
        <v>4</v>
      </c>
      <c r="I624" t="str" cm="1">
        <f t="array" ref="I624">_xlfn.IFS(H624&lt;=5, "0-5", H624&lt;=10, "6-10", H624&lt;=15, "11-15", H624&lt;=20, "16-20", H624&gt;20, "21+")</f>
        <v>0-5</v>
      </c>
      <c r="K624">
        <v>4.8</v>
      </c>
      <c r="L624" t="s">
        <v>2085</v>
      </c>
      <c r="M624" s="1">
        <v>0.97</v>
      </c>
    </row>
    <row r="625" spans="1:13" x14ac:dyDescent="0.3">
      <c r="A625" t="s">
        <v>1321</v>
      </c>
      <c r="B625" t="s">
        <v>1322</v>
      </c>
      <c r="C625" t="s">
        <v>73</v>
      </c>
      <c r="D625">
        <v>46</v>
      </c>
      <c r="E625" t="s">
        <v>169</v>
      </c>
      <c r="F625" t="s">
        <v>170</v>
      </c>
      <c r="G625" t="s">
        <v>85</v>
      </c>
      <c r="H625">
        <v>4</v>
      </c>
      <c r="I625" t="str" cm="1">
        <f t="array" ref="I625">_xlfn.IFS(H625&lt;=5, "0-5", H625&lt;=10, "6-10", H625&lt;=15, "11-15", H625&lt;=20, "16-20", H625&gt;20, "21+")</f>
        <v>0-5</v>
      </c>
      <c r="J625">
        <v>30</v>
      </c>
      <c r="K625">
        <v>2</v>
      </c>
      <c r="L625" t="s">
        <v>2086</v>
      </c>
      <c r="M625" s="1">
        <v>0.64</v>
      </c>
    </row>
    <row r="626" spans="1:13" x14ac:dyDescent="0.3">
      <c r="A626" t="s">
        <v>1323</v>
      </c>
      <c r="B626" t="s">
        <v>1324</v>
      </c>
      <c r="C626" t="s">
        <v>93</v>
      </c>
      <c r="E626" t="s">
        <v>184</v>
      </c>
      <c r="F626" t="s">
        <v>68</v>
      </c>
      <c r="G626" t="s">
        <v>16</v>
      </c>
      <c r="H626">
        <v>13</v>
      </c>
      <c r="I626" t="str" cm="1">
        <f t="array" ref="I626">_xlfn.IFS(H626&lt;=5, "0-5", H626&lt;=10, "6-10", H626&lt;=15, "11-15", H626&lt;=20, "16-20", H626&gt;20, "21+")</f>
        <v>11-15</v>
      </c>
      <c r="J626">
        <v>50</v>
      </c>
      <c r="K626">
        <v>2.8</v>
      </c>
      <c r="L626" t="s">
        <v>2085</v>
      </c>
      <c r="M626" s="1">
        <v>0.87</v>
      </c>
    </row>
    <row r="627" spans="1:13" x14ac:dyDescent="0.3">
      <c r="A627" t="s">
        <v>1325</v>
      </c>
      <c r="B627" t="s">
        <v>1326</v>
      </c>
      <c r="C627" t="s">
        <v>73</v>
      </c>
      <c r="D627">
        <v>34</v>
      </c>
      <c r="E627" t="s">
        <v>20</v>
      </c>
      <c r="F627" t="s">
        <v>21</v>
      </c>
      <c r="G627" t="s">
        <v>48</v>
      </c>
      <c r="H627">
        <v>2</v>
      </c>
      <c r="I627" t="str" cm="1">
        <f t="array" ref="I627">_xlfn.IFS(H627&lt;=5, "0-5", H627&lt;=10, "6-10", H627&lt;=15, "11-15", H627&lt;=20, "16-20", H627&gt;20, "21+")</f>
        <v>0-5</v>
      </c>
      <c r="J627">
        <v>100</v>
      </c>
      <c r="K627">
        <v>0</v>
      </c>
      <c r="L627" t="s">
        <v>2085</v>
      </c>
      <c r="M627" s="1">
        <v>0.86</v>
      </c>
    </row>
    <row r="628" spans="1:13" x14ac:dyDescent="0.3">
      <c r="A628" t="s">
        <v>1327</v>
      </c>
      <c r="B628" t="s">
        <v>1328</v>
      </c>
      <c r="C628" t="s">
        <v>73</v>
      </c>
      <c r="D628">
        <v>46</v>
      </c>
      <c r="E628" t="s">
        <v>14</v>
      </c>
      <c r="F628" t="s">
        <v>15</v>
      </c>
      <c r="G628" t="s">
        <v>22</v>
      </c>
      <c r="H628">
        <v>25</v>
      </c>
      <c r="I628" t="str" cm="1">
        <f t="array" ref="I628">_xlfn.IFS(H628&lt;=5, "0-5", H628&lt;=10, "6-10", H628&lt;=15, "11-15", H628&lt;=20, "16-20", H628&gt;20, "21+")</f>
        <v>21+</v>
      </c>
      <c r="J628">
        <v>100</v>
      </c>
      <c r="K628">
        <v>4.4000000000000004</v>
      </c>
      <c r="L628" t="s">
        <v>2086</v>
      </c>
      <c r="M628" s="1">
        <v>0.97</v>
      </c>
    </row>
    <row r="629" spans="1:13" x14ac:dyDescent="0.3">
      <c r="A629" t="s">
        <v>1329</v>
      </c>
      <c r="B629" t="s">
        <v>1330</v>
      </c>
      <c r="C629" t="s">
        <v>73</v>
      </c>
      <c r="D629">
        <v>22</v>
      </c>
      <c r="E629" t="s">
        <v>130</v>
      </c>
      <c r="F629" t="s">
        <v>131</v>
      </c>
      <c r="G629" t="s">
        <v>16</v>
      </c>
      <c r="H629">
        <v>18</v>
      </c>
      <c r="I629" t="str" cm="1">
        <f t="array" ref="I629">_xlfn.IFS(H629&lt;=5, "0-5", H629&lt;=10, "6-10", H629&lt;=15, "11-15", H629&lt;=20, "16-20", H629&gt;20, "21+")</f>
        <v>16-20</v>
      </c>
      <c r="J629">
        <v>30</v>
      </c>
      <c r="K629">
        <v>4.9000000000000004</v>
      </c>
      <c r="L629" t="s">
        <v>2085</v>
      </c>
      <c r="M629" s="1">
        <v>0.73</v>
      </c>
    </row>
    <row r="630" spans="1:13" x14ac:dyDescent="0.3">
      <c r="A630" t="s">
        <v>1331</v>
      </c>
      <c r="B630" t="s">
        <v>1332</v>
      </c>
      <c r="C630" t="s">
        <v>73</v>
      </c>
      <c r="D630">
        <v>23</v>
      </c>
      <c r="E630" t="s">
        <v>148</v>
      </c>
      <c r="F630" t="s">
        <v>149</v>
      </c>
      <c r="G630" t="s">
        <v>42</v>
      </c>
      <c r="H630">
        <v>24</v>
      </c>
      <c r="I630" t="str" cm="1">
        <f t="array" ref="I630">_xlfn.IFS(H630&lt;=5, "0-5", H630&lt;=10, "6-10", H630&lt;=15, "11-15", H630&lt;=20, "16-20", H630&gt;20, "21+")</f>
        <v>21+</v>
      </c>
      <c r="J630">
        <v>75</v>
      </c>
      <c r="K630">
        <v>2.2999999999999998</v>
      </c>
      <c r="M630" s="1">
        <v>0.6</v>
      </c>
    </row>
    <row r="631" spans="1:13" x14ac:dyDescent="0.3">
      <c r="A631" t="s">
        <v>1333</v>
      </c>
      <c r="B631" t="s">
        <v>1334</v>
      </c>
      <c r="C631" t="s">
        <v>73</v>
      </c>
      <c r="D631">
        <v>60</v>
      </c>
      <c r="E631" t="s">
        <v>59</v>
      </c>
      <c r="F631" t="s">
        <v>60</v>
      </c>
      <c r="G631" t="s">
        <v>34</v>
      </c>
      <c r="H631">
        <v>7</v>
      </c>
      <c r="I631" t="str" cm="1">
        <f t="array" ref="I631">_xlfn.IFS(H631&lt;=5, "0-5", H631&lt;=10, "6-10", H631&lt;=15, "11-15", H631&lt;=20, "16-20", H631&gt;20, "21+")</f>
        <v>6-10</v>
      </c>
      <c r="J631">
        <v>40</v>
      </c>
      <c r="K631">
        <v>4.9000000000000004</v>
      </c>
      <c r="L631" t="s">
        <v>2086</v>
      </c>
      <c r="M631" s="1">
        <v>0.66</v>
      </c>
    </row>
    <row r="632" spans="1:13" x14ac:dyDescent="0.3">
      <c r="A632" t="s">
        <v>1335</v>
      </c>
      <c r="B632" t="s">
        <v>1336</v>
      </c>
      <c r="C632" t="s">
        <v>93</v>
      </c>
      <c r="D632">
        <v>20</v>
      </c>
      <c r="E632" t="s">
        <v>123</v>
      </c>
      <c r="F632" t="s">
        <v>21</v>
      </c>
      <c r="G632" t="s">
        <v>85</v>
      </c>
      <c r="H632">
        <v>1</v>
      </c>
      <c r="I632" t="str" cm="1">
        <f t="array" ref="I632">_xlfn.IFS(H632&lt;=5, "0-5", H632&lt;=10, "6-10", H632&lt;=15, "11-15", H632&lt;=20, "16-20", H632&gt;20, "21+")</f>
        <v>0-5</v>
      </c>
      <c r="J632">
        <v>75</v>
      </c>
      <c r="K632">
        <v>4.3</v>
      </c>
      <c r="L632" t="s">
        <v>2085</v>
      </c>
      <c r="M632" s="1">
        <v>0.9</v>
      </c>
    </row>
    <row r="633" spans="1:13" x14ac:dyDescent="0.3">
      <c r="A633" t="s">
        <v>1337</v>
      </c>
      <c r="B633" t="s">
        <v>1338</v>
      </c>
      <c r="C633" t="s">
        <v>73</v>
      </c>
      <c r="D633">
        <v>41</v>
      </c>
      <c r="E633" t="s">
        <v>108</v>
      </c>
      <c r="F633" t="s">
        <v>109</v>
      </c>
      <c r="G633" t="s">
        <v>69</v>
      </c>
      <c r="H633">
        <v>17</v>
      </c>
      <c r="I633" t="str" cm="1">
        <f t="array" ref="I633">_xlfn.IFS(H633&lt;=5, "0-5", H633&lt;=10, "6-10", H633&lt;=15, "11-15", H633&lt;=20, "16-20", H633&gt;20, "21+")</f>
        <v>16-20</v>
      </c>
      <c r="J633">
        <v>75</v>
      </c>
      <c r="K633">
        <v>1.4</v>
      </c>
      <c r="L633" t="s">
        <v>2085</v>
      </c>
    </row>
    <row r="634" spans="1:13" x14ac:dyDescent="0.3">
      <c r="A634" t="s">
        <v>1339</v>
      </c>
      <c r="B634" t="s">
        <v>1340</v>
      </c>
      <c r="C634" t="s">
        <v>93</v>
      </c>
      <c r="D634">
        <v>24</v>
      </c>
      <c r="E634" t="s">
        <v>130</v>
      </c>
      <c r="F634" t="s">
        <v>131</v>
      </c>
      <c r="G634" t="s">
        <v>22</v>
      </c>
      <c r="H634">
        <v>4</v>
      </c>
      <c r="I634" t="str" cm="1">
        <f t="array" ref="I634">_xlfn.IFS(H634&lt;=5, "0-5", H634&lt;=10, "6-10", H634&lt;=15, "11-15", H634&lt;=20, "16-20", H634&gt;20, "21+")</f>
        <v>0-5</v>
      </c>
      <c r="J634">
        <v>100</v>
      </c>
      <c r="L634" t="s">
        <v>2085</v>
      </c>
    </row>
    <row r="635" spans="1:13" x14ac:dyDescent="0.3">
      <c r="A635" t="s">
        <v>1341</v>
      </c>
      <c r="B635" t="s">
        <v>1342</v>
      </c>
      <c r="C635" t="s">
        <v>93</v>
      </c>
      <c r="D635">
        <v>44</v>
      </c>
      <c r="E635" t="s">
        <v>40</v>
      </c>
      <c r="F635" t="s">
        <v>41</v>
      </c>
      <c r="G635" t="s">
        <v>110</v>
      </c>
      <c r="H635">
        <v>29</v>
      </c>
      <c r="I635" t="str" cm="1">
        <f t="array" ref="I635">_xlfn.IFS(H635&lt;=5, "0-5", H635&lt;=10, "6-10", H635&lt;=15, "11-15", H635&lt;=20, "16-20", H635&gt;20, "21+")</f>
        <v>21+</v>
      </c>
      <c r="K635">
        <v>1.3</v>
      </c>
      <c r="L635" t="s">
        <v>2086</v>
      </c>
      <c r="M635" s="1">
        <v>0.77</v>
      </c>
    </row>
    <row r="636" spans="1:13" x14ac:dyDescent="0.3">
      <c r="A636" t="s">
        <v>1343</v>
      </c>
      <c r="B636" t="s">
        <v>1344</v>
      </c>
      <c r="C636" t="s">
        <v>93</v>
      </c>
      <c r="D636">
        <v>52</v>
      </c>
      <c r="E636" t="s">
        <v>169</v>
      </c>
      <c r="F636" t="s">
        <v>170</v>
      </c>
      <c r="G636" t="s">
        <v>69</v>
      </c>
      <c r="H636">
        <v>2</v>
      </c>
      <c r="I636" t="str" cm="1">
        <f t="array" ref="I636">_xlfn.IFS(H636&lt;=5, "0-5", H636&lt;=10, "6-10", H636&lt;=15, "11-15", H636&lt;=20, "16-20", H636&gt;20, "21+")</f>
        <v>0-5</v>
      </c>
      <c r="J636">
        <v>75</v>
      </c>
      <c r="K636">
        <v>2.2999999999999998</v>
      </c>
      <c r="L636" t="s">
        <v>2086</v>
      </c>
      <c r="M636" s="1">
        <v>0.79</v>
      </c>
    </row>
    <row r="637" spans="1:13" x14ac:dyDescent="0.3">
      <c r="A637" t="s">
        <v>1345</v>
      </c>
      <c r="B637" t="s">
        <v>1346</v>
      </c>
      <c r="C637" t="s">
        <v>93</v>
      </c>
      <c r="D637">
        <v>35</v>
      </c>
      <c r="E637" t="s">
        <v>184</v>
      </c>
      <c r="F637" t="s">
        <v>68</v>
      </c>
      <c r="G637" t="s">
        <v>110</v>
      </c>
      <c r="H637">
        <v>9</v>
      </c>
      <c r="I637" t="str" cm="1">
        <f t="array" ref="I637">_xlfn.IFS(H637&lt;=5, "0-5", H637&lt;=10, "6-10", H637&lt;=15, "11-15", H637&lt;=20, "16-20", H637&gt;20, "21+")</f>
        <v>6-10</v>
      </c>
      <c r="J637">
        <v>40</v>
      </c>
      <c r="K637">
        <v>3.6</v>
      </c>
      <c r="L637" t="s">
        <v>2085</v>
      </c>
      <c r="M637" s="1">
        <v>0.83</v>
      </c>
    </row>
    <row r="638" spans="1:13" x14ac:dyDescent="0.3">
      <c r="A638" t="s">
        <v>1347</v>
      </c>
      <c r="B638" t="s">
        <v>1348</v>
      </c>
      <c r="C638" t="s">
        <v>73</v>
      </c>
      <c r="D638">
        <v>24</v>
      </c>
      <c r="E638" t="s">
        <v>40</v>
      </c>
      <c r="F638" t="s">
        <v>41</v>
      </c>
      <c r="G638" t="s">
        <v>85</v>
      </c>
      <c r="H638">
        <v>10</v>
      </c>
      <c r="I638" t="str" cm="1">
        <f t="array" ref="I638">_xlfn.IFS(H638&lt;=5, "0-5", H638&lt;=10, "6-10", H638&lt;=15, "11-15", H638&lt;=20, "16-20", H638&gt;20, "21+")</f>
        <v>6-10</v>
      </c>
      <c r="J638">
        <v>50</v>
      </c>
      <c r="L638" t="s">
        <v>2085</v>
      </c>
      <c r="M638" s="1">
        <v>0.64</v>
      </c>
    </row>
    <row r="639" spans="1:13" x14ac:dyDescent="0.3">
      <c r="A639" t="s">
        <v>1349</v>
      </c>
      <c r="B639" t="s">
        <v>1350</v>
      </c>
      <c r="C639" t="s">
        <v>73</v>
      </c>
      <c r="D639">
        <v>46</v>
      </c>
      <c r="E639" t="s">
        <v>20</v>
      </c>
      <c r="F639" t="s">
        <v>21</v>
      </c>
      <c r="G639" t="s">
        <v>74</v>
      </c>
      <c r="H639">
        <v>20</v>
      </c>
      <c r="I639" t="str" cm="1">
        <f t="array" ref="I639">_xlfn.IFS(H639&lt;=5, "0-5", H639&lt;=10, "6-10", H639&lt;=15, "11-15", H639&lt;=20, "16-20", H639&gt;20, "21+")</f>
        <v>16-20</v>
      </c>
      <c r="J639">
        <v>100</v>
      </c>
      <c r="K639">
        <v>1.3</v>
      </c>
      <c r="L639" t="s">
        <v>2085</v>
      </c>
      <c r="M639" s="1">
        <v>0.8</v>
      </c>
    </row>
    <row r="640" spans="1:13" x14ac:dyDescent="0.3">
      <c r="A640" t="s">
        <v>1351</v>
      </c>
      <c r="B640" t="s">
        <v>1352</v>
      </c>
      <c r="C640" t="s">
        <v>93</v>
      </c>
      <c r="D640">
        <v>57</v>
      </c>
      <c r="E640" t="s">
        <v>173</v>
      </c>
      <c r="F640" t="s">
        <v>68</v>
      </c>
      <c r="G640" t="s">
        <v>22</v>
      </c>
      <c r="H640">
        <v>9</v>
      </c>
      <c r="I640" t="str" cm="1">
        <f t="array" ref="I640">_xlfn.IFS(H640&lt;=5, "0-5", H640&lt;=10, "6-10", H640&lt;=15, "11-15", H640&lt;=20, "16-20", H640&gt;20, "21+")</f>
        <v>6-10</v>
      </c>
      <c r="J640">
        <v>30</v>
      </c>
      <c r="K640">
        <v>1.1000000000000001</v>
      </c>
      <c r="L640" t="s">
        <v>2085</v>
      </c>
      <c r="M640" s="1">
        <v>0.9</v>
      </c>
    </row>
    <row r="641" spans="1:13" x14ac:dyDescent="0.3">
      <c r="A641" t="s">
        <v>1353</v>
      </c>
      <c r="B641" t="s">
        <v>1354</v>
      </c>
      <c r="C641" t="s">
        <v>73</v>
      </c>
      <c r="D641">
        <v>49</v>
      </c>
      <c r="E641" t="s">
        <v>173</v>
      </c>
      <c r="F641" t="s">
        <v>68</v>
      </c>
      <c r="G641" t="s">
        <v>34</v>
      </c>
      <c r="H641">
        <v>12</v>
      </c>
      <c r="I641" t="str" cm="1">
        <f t="array" ref="I641">_xlfn.IFS(H641&lt;=5, "0-5", H641&lt;=10, "6-10", H641&lt;=15, "11-15", H641&lt;=20, "16-20", H641&gt;20, "21+")</f>
        <v>11-15</v>
      </c>
      <c r="J641">
        <v>50</v>
      </c>
      <c r="K641">
        <v>0</v>
      </c>
      <c r="L641" t="s">
        <v>2085</v>
      </c>
      <c r="M641" s="1">
        <v>0.94</v>
      </c>
    </row>
    <row r="642" spans="1:13" x14ac:dyDescent="0.3">
      <c r="A642" t="s">
        <v>1355</v>
      </c>
      <c r="B642" t="s">
        <v>1356</v>
      </c>
      <c r="C642" t="s">
        <v>93</v>
      </c>
      <c r="D642">
        <v>41</v>
      </c>
      <c r="E642" t="s">
        <v>81</v>
      </c>
      <c r="F642" t="s">
        <v>82</v>
      </c>
      <c r="G642" t="s">
        <v>42</v>
      </c>
      <c r="H642">
        <v>3</v>
      </c>
      <c r="I642" t="str" cm="1">
        <f t="array" ref="I642">_xlfn.IFS(H642&lt;=5, "0-5", H642&lt;=10, "6-10", H642&lt;=15, "11-15", H642&lt;=20, "16-20", H642&gt;20, "21+")</f>
        <v>0-5</v>
      </c>
      <c r="J642">
        <v>40</v>
      </c>
      <c r="K642">
        <v>1.8</v>
      </c>
      <c r="L642" t="s">
        <v>2085</v>
      </c>
      <c r="M642" s="1">
        <v>0.7</v>
      </c>
    </row>
    <row r="643" spans="1:13" x14ac:dyDescent="0.3">
      <c r="A643" t="s">
        <v>1357</v>
      </c>
      <c r="B643" t="s">
        <v>1358</v>
      </c>
      <c r="C643" t="s">
        <v>93</v>
      </c>
      <c r="D643">
        <v>22</v>
      </c>
      <c r="E643" t="s">
        <v>173</v>
      </c>
      <c r="F643" t="s">
        <v>68</v>
      </c>
      <c r="G643" t="s">
        <v>110</v>
      </c>
      <c r="H643">
        <v>13</v>
      </c>
      <c r="I643" t="str" cm="1">
        <f t="array" ref="I643">_xlfn.IFS(H643&lt;=5, "0-5", H643&lt;=10, "6-10", H643&lt;=15, "11-15", H643&lt;=20, "16-20", H643&gt;20, "21+")</f>
        <v>11-15</v>
      </c>
      <c r="J643">
        <v>20</v>
      </c>
      <c r="L643" t="s">
        <v>2086</v>
      </c>
      <c r="M643" s="1">
        <v>0.75</v>
      </c>
    </row>
    <row r="644" spans="1:13" x14ac:dyDescent="0.3">
      <c r="A644" t="s">
        <v>1359</v>
      </c>
      <c r="B644" t="s">
        <v>1360</v>
      </c>
      <c r="C644" t="s">
        <v>93</v>
      </c>
      <c r="D644">
        <v>50</v>
      </c>
      <c r="E644" t="s">
        <v>20</v>
      </c>
      <c r="F644" t="s">
        <v>21</v>
      </c>
      <c r="G644" t="s">
        <v>16</v>
      </c>
      <c r="H644">
        <v>4</v>
      </c>
      <c r="I644" t="str" cm="1">
        <f t="array" ref="I644">_xlfn.IFS(H644&lt;=5, "0-5", H644&lt;=10, "6-10", H644&lt;=15, "11-15", H644&lt;=20, "16-20", H644&gt;20, "21+")</f>
        <v>0-5</v>
      </c>
      <c r="J644">
        <v>75</v>
      </c>
      <c r="K644">
        <v>3.3</v>
      </c>
      <c r="L644" t="s">
        <v>2086</v>
      </c>
      <c r="M644" s="1">
        <v>0.69</v>
      </c>
    </row>
    <row r="645" spans="1:13" x14ac:dyDescent="0.3">
      <c r="A645" t="s">
        <v>1361</v>
      </c>
      <c r="B645" t="s">
        <v>1362</v>
      </c>
      <c r="C645" t="s">
        <v>93</v>
      </c>
      <c r="D645">
        <v>57</v>
      </c>
      <c r="E645" t="s">
        <v>27</v>
      </c>
      <c r="F645" t="s">
        <v>28</v>
      </c>
      <c r="G645" t="s">
        <v>29</v>
      </c>
      <c r="H645">
        <v>9</v>
      </c>
      <c r="I645" t="str" cm="1">
        <f t="array" ref="I645">_xlfn.IFS(H645&lt;=5, "0-5", H645&lt;=10, "6-10", H645&lt;=15, "11-15", H645&lt;=20, "16-20", H645&gt;20, "21+")</f>
        <v>6-10</v>
      </c>
      <c r="J645">
        <v>30</v>
      </c>
      <c r="K645">
        <v>4.2</v>
      </c>
      <c r="L645" t="s">
        <v>2085</v>
      </c>
    </row>
    <row r="646" spans="1:13" x14ac:dyDescent="0.3">
      <c r="A646" t="s">
        <v>1363</v>
      </c>
      <c r="B646" t="s">
        <v>1364</v>
      </c>
      <c r="C646" t="s">
        <v>73</v>
      </c>
      <c r="D646">
        <v>47</v>
      </c>
      <c r="E646" t="s">
        <v>173</v>
      </c>
      <c r="F646" t="s">
        <v>68</v>
      </c>
      <c r="G646" t="s">
        <v>42</v>
      </c>
      <c r="H646">
        <v>14</v>
      </c>
      <c r="I646" t="str" cm="1">
        <f t="array" ref="I646">_xlfn.IFS(H646&lt;=5, "0-5", H646&lt;=10, "6-10", H646&lt;=15, "11-15", H646&lt;=20, "16-20", H646&gt;20, "21+")</f>
        <v>11-15</v>
      </c>
      <c r="J646">
        <v>50</v>
      </c>
      <c r="L646" t="s">
        <v>2086</v>
      </c>
      <c r="M646" s="1">
        <v>0.79</v>
      </c>
    </row>
    <row r="647" spans="1:13" x14ac:dyDescent="0.3">
      <c r="A647" t="s">
        <v>1365</v>
      </c>
      <c r="B647" t="s">
        <v>1366</v>
      </c>
      <c r="C647" t="s">
        <v>93</v>
      </c>
      <c r="D647">
        <v>24</v>
      </c>
      <c r="E647" t="s">
        <v>148</v>
      </c>
      <c r="F647" t="s">
        <v>149</v>
      </c>
      <c r="G647" t="s">
        <v>48</v>
      </c>
      <c r="H647">
        <v>37</v>
      </c>
      <c r="I647" t="str" cm="1">
        <f t="array" ref="I647">_xlfn.IFS(H647&lt;=5, "0-5", H647&lt;=10, "6-10", H647&lt;=15, "11-15", H647&lt;=20, "16-20", H647&gt;20, "21+")</f>
        <v>21+</v>
      </c>
      <c r="J647">
        <v>100</v>
      </c>
      <c r="K647">
        <v>3.8</v>
      </c>
      <c r="L647" t="s">
        <v>2086</v>
      </c>
      <c r="M647" s="1">
        <v>0.71</v>
      </c>
    </row>
    <row r="648" spans="1:13" x14ac:dyDescent="0.3">
      <c r="A648" t="s">
        <v>1367</v>
      </c>
      <c r="B648" t="s">
        <v>1368</v>
      </c>
      <c r="C648" t="s">
        <v>93</v>
      </c>
      <c r="E648" t="s">
        <v>89</v>
      </c>
      <c r="F648" t="s">
        <v>90</v>
      </c>
      <c r="G648" t="s">
        <v>74</v>
      </c>
      <c r="H648">
        <v>2</v>
      </c>
      <c r="I648" t="str" cm="1">
        <f t="array" ref="I648">_xlfn.IFS(H648&lt;=5, "0-5", H648&lt;=10, "6-10", H648&lt;=15, "11-15", H648&lt;=20, "16-20", H648&gt;20, "21+")</f>
        <v>0-5</v>
      </c>
      <c r="J648">
        <v>100</v>
      </c>
      <c r="K648">
        <v>4.8</v>
      </c>
      <c r="L648" t="s">
        <v>2086</v>
      </c>
      <c r="M648" s="1">
        <v>0.72</v>
      </c>
    </row>
    <row r="649" spans="1:13" x14ac:dyDescent="0.3">
      <c r="A649" t="s">
        <v>1369</v>
      </c>
      <c r="B649" t="s">
        <v>1370</v>
      </c>
      <c r="C649" t="s">
        <v>73</v>
      </c>
      <c r="D649">
        <v>50</v>
      </c>
      <c r="E649" t="s">
        <v>27</v>
      </c>
      <c r="F649" t="s">
        <v>28</v>
      </c>
      <c r="G649" t="s">
        <v>85</v>
      </c>
      <c r="H649">
        <v>11</v>
      </c>
      <c r="I649" t="str" cm="1">
        <f t="array" ref="I649">_xlfn.IFS(H649&lt;=5, "0-5", H649&lt;=10, "6-10", H649&lt;=15, "11-15", H649&lt;=20, "16-20", H649&gt;20, "21+")</f>
        <v>11-15</v>
      </c>
      <c r="J649">
        <v>100</v>
      </c>
      <c r="K649">
        <v>4.3</v>
      </c>
      <c r="L649" t="s">
        <v>2085</v>
      </c>
      <c r="M649" s="1">
        <v>0.93</v>
      </c>
    </row>
    <row r="650" spans="1:13" x14ac:dyDescent="0.3">
      <c r="A650" t="s">
        <v>1371</v>
      </c>
      <c r="B650" t="s">
        <v>1372</v>
      </c>
      <c r="C650" t="s">
        <v>93</v>
      </c>
      <c r="D650">
        <v>46</v>
      </c>
      <c r="E650" t="s">
        <v>103</v>
      </c>
      <c r="F650" t="s">
        <v>104</v>
      </c>
      <c r="G650" t="s">
        <v>110</v>
      </c>
      <c r="H650">
        <v>19</v>
      </c>
      <c r="I650" t="str" cm="1">
        <f t="array" ref="I650">_xlfn.IFS(H650&lt;=5, "0-5", H650&lt;=10, "6-10", H650&lt;=15, "11-15", H650&lt;=20, "16-20", H650&gt;20, "21+")</f>
        <v>16-20</v>
      </c>
      <c r="K650">
        <v>4.8</v>
      </c>
      <c r="L650" t="s">
        <v>2086</v>
      </c>
      <c r="M650" s="1">
        <v>0.82</v>
      </c>
    </row>
    <row r="651" spans="1:13" x14ac:dyDescent="0.3">
      <c r="A651" t="s">
        <v>1373</v>
      </c>
      <c r="B651" t="s">
        <v>1374</v>
      </c>
      <c r="C651" t="s">
        <v>93</v>
      </c>
      <c r="D651">
        <v>51</v>
      </c>
      <c r="E651" t="s">
        <v>20</v>
      </c>
      <c r="F651" t="s">
        <v>21</v>
      </c>
      <c r="G651" t="s">
        <v>74</v>
      </c>
      <c r="H651">
        <v>9</v>
      </c>
      <c r="I651" t="str" cm="1">
        <f t="array" ref="I651">_xlfn.IFS(H651&lt;=5, "0-5", H651&lt;=10, "6-10", H651&lt;=15, "11-15", H651&lt;=20, "16-20", H651&gt;20, "21+")</f>
        <v>6-10</v>
      </c>
      <c r="J651">
        <v>40</v>
      </c>
      <c r="L651" t="s">
        <v>2085</v>
      </c>
      <c r="M651" s="1">
        <v>0.6</v>
      </c>
    </row>
    <row r="652" spans="1:13" x14ac:dyDescent="0.3">
      <c r="A652" t="s">
        <v>1375</v>
      </c>
      <c r="B652" t="s">
        <v>1376</v>
      </c>
      <c r="C652" t="s">
        <v>93</v>
      </c>
      <c r="D652">
        <v>51</v>
      </c>
      <c r="E652" t="s">
        <v>63</v>
      </c>
      <c r="F652" t="s">
        <v>21</v>
      </c>
      <c r="G652" t="s">
        <v>42</v>
      </c>
      <c r="H652">
        <v>16</v>
      </c>
      <c r="I652" t="str" cm="1">
        <f t="array" ref="I652">_xlfn.IFS(H652&lt;=5, "0-5", H652&lt;=10, "6-10", H652&lt;=15, "11-15", H652&lt;=20, "16-20", H652&gt;20, "21+")</f>
        <v>16-20</v>
      </c>
      <c r="J652">
        <v>20</v>
      </c>
      <c r="K652">
        <v>4</v>
      </c>
      <c r="L652" t="s">
        <v>2085</v>
      </c>
      <c r="M652" s="1">
        <v>0.93</v>
      </c>
    </row>
    <row r="653" spans="1:13" x14ac:dyDescent="0.3">
      <c r="A653" t="s">
        <v>1377</v>
      </c>
      <c r="B653" t="s">
        <v>1378</v>
      </c>
      <c r="C653" t="s">
        <v>93</v>
      </c>
      <c r="D653">
        <v>27</v>
      </c>
      <c r="E653" t="s">
        <v>63</v>
      </c>
      <c r="F653" t="s">
        <v>21</v>
      </c>
      <c r="G653" t="s">
        <v>42</v>
      </c>
      <c r="H653">
        <v>8</v>
      </c>
      <c r="I653" t="str" cm="1">
        <f t="array" ref="I653">_xlfn.IFS(H653&lt;=5, "0-5", H653&lt;=10, "6-10", H653&lt;=15, "11-15", H653&lt;=20, "16-20", H653&gt;20, "21+")</f>
        <v>6-10</v>
      </c>
      <c r="J653">
        <v>50</v>
      </c>
      <c r="L653" t="s">
        <v>2085</v>
      </c>
    </row>
    <row r="654" spans="1:13" x14ac:dyDescent="0.3">
      <c r="A654" t="s">
        <v>1379</v>
      </c>
      <c r="B654" t="s">
        <v>1380</v>
      </c>
      <c r="C654" t="s">
        <v>93</v>
      </c>
      <c r="D654">
        <v>42</v>
      </c>
      <c r="E654" t="s">
        <v>184</v>
      </c>
      <c r="F654" t="s">
        <v>68</v>
      </c>
      <c r="G654" t="s">
        <v>34</v>
      </c>
      <c r="H654">
        <v>34</v>
      </c>
      <c r="I654" t="str" cm="1">
        <f t="array" ref="I654">_xlfn.IFS(H654&lt;=5, "0-5", H654&lt;=10, "6-10", H654&lt;=15, "11-15", H654&lt;=20, "16-20", H654&gt;20, "21+")</f>
        <v>21+</v>
      </c>
      <c r="J654">
        <v>30</v>
      </c>
      <c r="K654">
        <v>0</v>
      </c>
      <c r="L654" t="s">
        <v>2085</v>
      </c>
      <c r="M654" s="1">
        <v>0.74</v>
      </c>
    </row>
    <row r="655" spans="1:13" x14ac:dyDescent="0.3">
      <c r="A655" t="s">
        <v>1381</v>
      </c>
      <c r="B655" t="s">
        <v>1382</v>
      </c>
      <c r="C655" t="s">
        <v>93</v>
      </c>
      <c r="D655">
        <v>25</v>
      </c>
      <c r="E655" t="s">
        <v>27</v>
      </c>
      <c r="F655" t="s">
        <v>28</v>
      </c>
      <c r="G655" t="s">
        <v>69</v>
      </c>
      <c r="H655">
        <v>5</v>
      </c>
      <c r="I655" t="str" cm="1">
        <f t="array" ref="I655">_xlfn.IFS(H655&lt;=5, "0-5", H655&lt;=10, "6-10", H655&lt;=15, "11-15", H655&lt;=20, "16-20", H655&gt;20, "21+")</f>
        <v>0-5</v>
      </c>
      <c r="J655">
        <v>40</v>
      </c>
      <c r="K655">
        <v>2.2999999999999998</v>
      </c>
      <c r="L655" t="s">
        <v>2086</v>
      </c>
      <c r="M655" s="1">
        <v>0.73</v>
      </c>
    </row>
    <row r="656" spans="1:13" x14ac:dyDescent="0.3">
      <c r="A656" t="s">
        <v>1383</v>
      </c>
      <c r="B656" t="s">
        <v>1384</v>
      </c>
      <c r="C656" t="s">
        <v>73</v>
      </c>
      <c r="D656">
        <v>32</v>
      </c>
      <c r="E656" t="s">
        <v>27</v>
      </c>
      <c r="F656" t="s">
        <v>28</v>
      </c>
      <c r="G656" t="s">
        <v>48</v>
      </c>
      <c r="H656">
        <v>14</v>
      </c>
      <c r="I656" t="str" cm="1">
        <f t="array" ref="I656">_xlfn.IFS(H656&lt;=5, "0-5", H656&lt;=10, "6-10", H656&lt;=15, "11-15", H656&lt;=20, "16-20", H656&gt;20, "21+")</f>
        <v>11-15</v>
      </c>
      <c r="J656">
        <v>75</v>
      </c>
      <c r="L656" t="s">
        <v>2085</v>
      </c>
      <c r="M656" s="1">
        <v>0.96</v>
      </c>
    </row>
    <row r="657" spans="1:13" x14ac:dyDescent="0.3">
      <c r="A657" t="s">
        <v>1385</v>
      </c>
      <c r="B657" t="s">
        <v>1386</v>
      </c>
      <c r="C657" t="s">
        <v>73</v>
      </c>
      <c r="D657">
        <v>59</v>
      </c>
      <c r="E657" t="s">
        <v>123</v>
      </c>
      <c r="F657" t="s">
        <v>21</v>
      </c>
      <c r="G657" t="s">
        <v>29</v>
      </c>
      <c r="H657">
        <v>17</v>
      </c>
      <c r="I657" t="str" cm="1">
        <f t="array" ref="I657">_xlfn.IFS(H657&lt;=5, "0-5", H657&lt;=10, "6-10", H657&lt;=15, "11-15", H657&lt;=20, "16-20", H657&gt;20, "21+")</f>
        <v>16-20</v>
      </c>
      <c r="J657">
        <v>30</v>
      </c>
      <c r="K657">
        <v>3.8</v>
      </c>
      <c r="M657" s="1">
        <v>0.66</v>
      </c>
    </row>
    <row r="658" spans="1:13" x14ac:dyDescent="0.3">
      <c r="A658" t="s">
        <v>1387</v>
      </c>
      <c r="B658" t="s">
        <v>1388</v>
      </c>
      <c r="C658" t="s">
        <v>73</v>
      </c>
      <c r="D658">
        <v>59</v>
      </c>
      <c r="E658" t="s">
        <v>130</v>
      </c>
      <c r="F658" t="s">
        <v>131</v>
      </c>
      <c r="G658" t="s">
        <v>74</v>
      </c>
      <c r="H658">
        <v>10</v>
      </c>
      <c r="I658" t="str" cm="1">
        <f t="array" ref="I658">_xlfn.IFS(H658&lt;=5, "0-5", H658&lt;=10, "6-10", H658&lt;=15, "11-15", H658&lt;=20, "16-20", H658&gt;20, "21+")</f>
        <v>6-10</v>
      </c>
      <c r="J658">
        <v>30</v>
      </c>
      <c r="K658">
        <v>4</v>
      </c>
      <c r="L658" t="s">
        <v>2085</v>
      </c>
      <c r="M658" s="1">
        <v>0.62</v>
      </c>
    </row>
    <row r="659" spans="1:13" x14ac:dyDescent="0.3">
      <c r="A659" t="s">
        <v>1389</v>
      </c>
      <c r="B659" t="s">
        <v>1390</v>
      </c>
      <c r="C659" t="s">
        <v>93</v>
      </c>
      <c r="D659">
        <v>29</v>
      </c>
      <c r="E659" t="s">
        <v>27</v>
      </c>
      <c r="F659" t="s">
        <v>28</v>
      </c>
      <c r="G659" t="s">
        <v>29</v>
      </c>
      <c r="H659">
        <v>8</v>
      </c>
      <c r="I659" t="str" cm="1">
        <f t="array" ref="I659">_xlfn.IFS(H659&lt;=5, "0-5", H659&lt;=10, "6-10", H659&lt;=15, "11-15", H659&lt;=20, "16-20", H659&gt;20, "21+")</f>
        <v>6-10</v>
      </c>
      <c r="J659">
        <v>75</v>
      </c>
      <c r="K659">
        <v>2.2000000000000002</v>
      </c>
      <c r="L659" t="s">
        <v>2086</v>
      </c>
      <c r="M659" s="1">
        <v>0.85</v>
      </c>
    </row>
    <row r="660" spans="1:13" x14ac:dyDescent="0.3">
      <c r="A660" t="s">
        <v>1391</v>
      </c>
      <c r="B660" t="s">
        <v>1392</v>
      </c>
      <c r="C660" t="s">
        <v>93</v>
      </c>
      <c r="D660">
        <v>58</v>
      </c>
      <c r="E660" t="s">
        <v>169</v>
      </c>
      <c r="F660" t="s">
        <v>170</v>
      </c>
      <c r="G660" t="s">
        <v>42</v>
      </c>
      <c r="H660">
        <v>1</v>
      </c>
      <c r="I660" t="str" cm="1">
        <f t="array" ref="I660">_xlfn.IFS(H660&lt;=5, "0-5", H660&lt;=10, "6-10", H660&lt;=15, "11-15", H660&lt;=20, "16-20", H660&gt;20, "21+")</f>
        <v>0-5</v>
      </c>
      <c r="J660">
        <v>100</v>
      </c>
      <c r="K660">
        <v>4.3</v>
      </c>
      <c r="L660" t="s">
        <v>2085</v>
      </c>
      <c r="M660" s="1">
        <v>0.66</v>
      </c>
    </row>
    <row r="661" spans="1:13" x14ac:dyDescent="0.3">
      <c r="A661" t="s">
        <v>1393</v>
      </c>
      <c r="B661" t="s">
        <v>1394</v>
      </c>
      <c r="C661" t="s">
        <v>73</v>
      </c>
      <c r="D661">
        <v>56</v>
      </c>
      <c r="E661" t="s">
        <v>123</v>
      </c>
      <c r="F661" t="s">
        <v>21</v>
      </c>
      <c r="G661" t="s">
        <v>74</v>
      </c>
      <c r="H661">
        <v>10</v>
      </c>
      <c r="I661" t="str" cm="1">
        <f t="array" ref="I661">_xlfn.IFS(H661&lt;=5, "0-5", H661&lt;=10, "6-10", H661&lt;=15, "11-15", H661&lt;=20, "16-20", H661&gt;20, "21+")</f>
        <v>6-10</v>
      </c>
      <c r="J661">
        <v>20</v>
      </c>
      <c r="K661">
        <v>0</v>
      </c>
      <c r="L661" t="s">
        <v>2085</v>
      </c>
      <c r="M661" s="1">
        <v>0.87</v>
      </c>
    </row>
    <row r="662" spans="1:13" x14ac:dyDescent="0.3">
      <c r="A662" t="s">
        <v>1395</v>
      </c>
      <c r="B662" t="s">
        <v>1396</v>
      </c>
      <c r="C662" t="s">
        <v>73</v>
      </c>
      <c r="D662">
        <v>36</v>
      </c>
      <c r="E662" t="s">
        <v>55</v>
      </c>
      <c r="F662" t="s">
        <v>21</v>
      </c>
      <c r="G662" t="s">
        <v>110</v>
      </c>
      <c r="H662">
        <v>0</v>
      </c>
      <c r="I662" t="str" cm="1">
        <f t="array" ref="I662">_xlfn.IFS(H662&lt;=5, "0-5", H662&lt;=10, "6-10", H662&lt;=15, "11-15", H662&lt;=20, "16-20", H662&gt;20, "21+")</f>
        <v>0-5</v>
      </c>
      <c r="J662">
        <v>20</v>
      </c>
      <c r="K662">
        <v>0</v>
      </c>
      <c r="L662" t="s">
        <v>2086</v>
      </c>
      <c r="M662" s="1">
        <v>0.68</v>
      </c>
    </row>
    <row r="663" spans="1:13" x14ac:dyDescent="0.3">
      <c r="A663" t="s">
        <v>1397</v>
      </c>
      <c r="B663" t="s">
        <v>1398</v>
      </c>
      <c r="C663" t="s">
        <v>73</v>
      </c>
      <c r="D663">
        <v>52</v>
      </c>
      <c r="E663" t="s">
        <v>123</v>
      </c>
      <c r="F663" t="s">
        <v>21</v>
      </c>
      <c r="G663" t="s">
        <v>69</v>
      </c>
      <c r="H663">
        <v>4</v>
      </c>
      <c r="I663" t="str" cm="1">
        <f t="array" ref="I663">_xlfn.IFS(H663&lt;=5, "0-5", H663&lt;=10, "6-10", H663&lt;=15, "11-15", H663&lt;=20, "16-20", H663&gt;20, "21+")</f>
        <v>0-5</v>
      </c>
      <c r="J663">
        <v>100</v>
      </c>
      <c r="K663">
        <v>4</v>
      </c>
      <c r="L663" t="s">
        <v>2086</v>
      </c>
    </row>
    <row r="664" spans="1:13" x14ac:dyDescent="0.3">
      <c r="A664" t="s">
        <v>1399</v>
      </c>
      <c r="B664" t="s">
        <v>1400</v>
      </c>
      <c r="C664" t="s">
        <v>73</v>
      </c>
      <c r="D664">
        <v>42</v>
      </c>
      <c r="E664" t="s">
        <v>40</v>
      </c>
      <c r="F664" t="s">
        <v>41</v>
      </c>
      <c r="G664" t="s">
        <v>22</v>
      </c>
      <c r="H664">
        <v>2</v>
      </c>
      <c r="I664" t="str" cm="1">
        <f t="array" ref="I664">_xlfn.IFS(H664&lt;=5, "0-5", H664&lt;=10, "6-10", H664&lt;=15, "11-15", H664&lt;=20, "16-20", H664&gt;20, "21+")</f>
        <v>0-5</v>
      </c>
      <c r="J664">
        <v>50</v>
      </c>
    </row>
    <row r="665" spans="1:13" x14ac:dyDescent="0.3">
      <c r="A665" t="s">
        <v>1401</v>
      </c>
      <c r="B665" t="s">
        <v>1402</v>
      </c>
      <c r="C665" t="s">
        <v>73</v>
      </c>
      <c r="D665">
        <v>59</v>
      </c>
      <c r="E665" t="s">
        <v>89</v>
      </c>
      <c r="F665" t="s">
        <v>90</v>
      </c>
      <c r="G665" t="s">
        <v>22</v>
      </c>
      <c r="H665">
        <v>10</v>
      </c>
      <c r="I665" t="str" cm="1">
        <f t="array" ref="I665">_xlfn.IFS(H665&lt;=5, "0-5", H665&lt;=10, "6-10", H665&lt;=15, "11-15", H665&lt;=20, "16-20", H665&gt;20, "21+")</f>
        <v>6-10</v>
      </c>
      <c r="J665">
        <v>100</v>
      </c>
      <c r="K665">
        <v>2</v>
      </c>
      <c r="L665" t="s">
        <v>2086</v>
      </c>
      <c r="M665" s="1">
        <v>0.79</v>
      </c>
    </row>
    <row r="666" spans="1:13" x14ac:dyDescent="0.3">
      <c r="A666" t="s">
        <v>1403</v>
      </c>
      <c r="B666" t="s">
        <v>1404</v>
      </c>
      <c r="C666" t="s">
        <v>93</v>
      </c>
      <c r="D666">
        <v>33</v>
      </c>
      <c r="E666" t="s">
        <v>40</v>
      </c>
      <c r="F666" t="s">
        <v>41</v>
      </c>
      <c r="G666" t="s">
        <v>22</v>
      </c>
      <c r="H666">
        <v>16</v>
      </c>
      <c r="I666" t="str" cm="1">
        <f t="array" ref="I666">_xlfn.IFS(H666&lt;=5, "0-5", H666&lt;=10, "6-10", H666&lt;=15, "11-15", H666&lt;=20, "16-20", H666&gt;20, "21+")</f>
        <v>16-20</v>
      </c>
      <c r="J666">
        <v>50</v>
      </c>
      <c r="K666">
        <v>4.7</v>
      </c>
      <c r="L666" t="s">
        <v>2086</v>
      </c>
      <c r="M666" s="1">
        <v>0.88</v>
      </c>
    </row>
    <row r="667" spans="1:13" x14ac:dyDescent="0.3">
      <c r="A667" t="s">
        <v>1405</v>
      </c>
      <c r="B667" t="s">
        <v>1406</v>
      </c>
      <c r="C667" t="s">
        <v>73</v>
      </c>
      <c r="D667">
        <v>55</v>
      </c>
      <c r="E667" t="s">
        <v>123</v>
      </c>
      <c r="F667" t="s">
        <v>21</v>
      </c>
      <c r="G667" t="s">
        <v>34</v>
      </c>
      <c r="H667">
        <v>27</v>
      </c>
      <c r="I667" t="str" cm="1">
        <f t="array" ref="I667">_xlfn.IFS(H667&lt;=5, "0-5", H667&lt;=10, "6-10", H667&lt;=15, "11-15", H667&lt;=20, "16-20", H667&gt;20, "21+")</f>
        <v>21+</v>
      </c>
      <c r="J667">
        <v>50</v>
      </c>
      <c r="K667">
        <v>3.6</v>
      </c>
      <c r="L667" t="s">
        <v>2086</v>
      </c>
      <c r="M667" s="1">
        <v>0.81</v>
      </c>
    </row>
    <row r="668" spans="1:13" x14ac:dyDescent="0.3">
      <c r="A668" t="s">
        <v>1407</v>
      </c>
      <c r="B668" t="s">
        <v>1408</v>
      </c>
      <c r="C668" t="s">
        <v>93</v>
      </c>
      <c r="D668">
        <v>47</v>
      </c>
      <c r="E668" t="s">
        <v>108</v>
      </c>
      <c r="F668" t="s">
        <v>109</v>
      </c>
      <c r="G668" t="s">
        <v>69</v>
      </c>
      <c r="H668">
        <v>20</v>
      </c>
      <c r="I668" t="str" cm="1">
        <f t="array" ref="I668">_xlfn.IFS(H668&lt;=5, "0-5", H668&lt;=10, "6-10", H668&lt;=15, "11-15", H668&lt;=20, "16-20", H668&gt;20, "21+")</f>
        <v>16-20</v>
      </c>
      <c r="J668">
        <v>50</v>
      </c>
      <c r="K668">
        <v>1.2</v>
      </c>
      <c r="L668" t="s">
        <v>2085</v>
      </c>
    </row>
    <row r="669" spans="1:13" x14ac:dyDescent="0.3">
      <c r="A669" t="s">
        <v>1409</v>
      </c>
      <c r="B669" t="s">
        <v>1410</v>
      </c>
      <c r="C669" t="s">
        <v>73</v>
      </c>
      <c r="D669">
        <v>29</v>
      </c>
      <c r="E669" t="s">
        <v>173</v>
      </c>
      <c r="F669" t="s">
        <v>68</v>
      </c>
      <c r="G669" t="s">
        <v>42</v>
      </c>
      <c r="H669">
        <v>10</v>
      </c>
      <c r="I669" t="str" cm="1">
        <f t="array" ref="I669">_xlfn.IFS(H669&lt;=5, "0-5", H669&lt;=10, "6-10", H669&lt;=15, "11-15", H669&lt;=20, "16-20", H669&gt;20, "21+")</f>
        <v>6-10</v>
      </c>
      <c r="K669">
        <v>4.4000000000000004</v>
      </c>
      <c r="L669" t="s">
        <v>2086</v>
      </c>
      <c r="M669" s="1">
        <v>0.67</v>
      </c>
    </row>
    <row r="670" spans="1:13" x14ac:dyDescent="0.3">
      <c r="A670" t="s">
        <v>1411</v>
      </c>
      <c r="B670" t="s">
        <v>1412</v>
      </c>
      <c r="C670" t="s">
        <v>73</v>
      </c>
      <c r="D670">
        <v>30</v>
      </c>
      <c r="E670" t="s">
        <v>63</v>
      </c>
      <c r="F670" t="s">
        <v>21</v>
      </c>
      <c r="G670" t="s">
        <v>85</v>
      </c>
      <c r="H670">
        <v>0</v>
      </c>
      <c r="I670" t="str" cm="1">
        <f t="array" ref="I670">_xlfn.IFS(H670&lt;=5, "0-5", H670&lt;=10, "6-10", H670&lt;=15, "11-15", H670&lt;=20, "16-20", H670&gt;20, "21+")</f>
        <v>0-5</v>
      </c>
      <c r="J670">
        <v>100</v>
      </c>
      <c r="K670">
        <v>1.4</v>
      </c>
      <c r="L670" t="s">
        <v>2086</v>
      </c>
      <c r="M670" s="1">
        <v>0.62</v>
      </c>
    </row>
    <row r="671" spans="1:13" x14ac:dyDescent="0.3">
      <c r="A671" t="s">
        <v>1413</v>
      </c>
      <c r="B671" t="s">
        <v>1414</v>
      </c>
      <c r="C671" t="s">
        <v>73</v>
      </c>
      <c r="D671">
        <v>25</v>
      </c>
      <c r="E671" t="s">
        <v>123</v>
      </c>
      <c r="F671" t="s">
        <v>21</v>
      </c>
      <c r="G671" t="s">
        <v>85</v>
      </c>
      <c r="H671">
        <v>11</v>
      </c>
      <c r="I671" t="str" cm="1">
        <f t="array" ref="I671">_xlfn.IFS(H671&lt;=5, "0-5", H671&lt;=10, "6-10", H671&lt;=15, "11-15", H671&lt;=20, "16-20", H671&gt;20, "21+")</f>
        <v>11-15</v>
      </c>
      <c r="J671">
        <v>30</v>
      </c>
      <c r="K671">
        <v>3.2</v>
      </c>
      <c r="L671" t="s">
        <v>2085</v>
      </c>
      <c r="M671" s="1">
        <v>0.87</v>
      </c>
    </row>
    <row r="672" spans="1:13" x14ac:dyDescent="0.3">
      <c r="A672" t="s">
        <v>1415</v>
      </c>
      <c r="B672" t="s">
        <v>1416</v>
      </c>
      <c r="C672" t="s">
        <v>73</v>
      </c>
      <c r="D672">
        <v>28</v>
      </c>
      <c r="E672" t="s">
        <v>134</v>
      </c>
      <c r="F672" t="s">
        <v>135</v>
      </c>
      <c r="G672" t="s">
        <v>74</v>
      </c>
      <c r="H672">
        <v>1</v>
      </c>
      <c r="I672" t="str" cm="1">
        <f t="array" ref="I672">_xlfn.IFS(H672&lt;=5, "0-5", H672&lt;=10, "6-10", H672&lt;=15, "11-15", H672&lt;=20, "16-20", H672&gt;20, "21+")</f>
        <v>0-5</v>
      </c>
      <c r="K672">
        <v>3.8</v>
      </c>
      <c r="L672" t="s">
        <v>2086</v>
      </c>
      <c r="M672" s="1">
        <v>0.98</v>
      </c>
    </row>
    <row r="673" spans="1:13" x14ac:dyDescent="0.3">
      <c r="A673" t="s">
        <v>1417</v>
      </c>
      <c r="B673" t="s">
        <v>1418</v>
      </c>
      <c r="C673" t="s">
        <v>93</v>
      </c>
      <c r="D673">
        <v>29</v>
      </c>
      <c r="E673" t="s">
        <v>108</v>
      </c>
      <c r="F673" t="s">
        <v>109</v>
      </c>
      <c r="G673" t="s">
        <v>16</v>
      </c>
      <c r="H673">
        <v>30</v>
      </c>
      <c r="I673" t="str" cm="1">
        <f t="array" ref="I673">_xlfn.IFS(H673&lt;=5, "0-5", H673&lt;=10, "6-10", H673&lt;=15, "11-15", H673&lt;=20, "16-20", H673&gt;20, "21+")</f>
        <v>21+</v>
      </c>
      <c r="J673">
        <v>75</v>
      </c>
      <c r="K673">
        <v>1.5</v>
      </c>
      <c r="L673" t="s">
        <v>2086</v>
      </c>
      <c r="M673" s="1">
        <v>0.64</v>
      </c>
    </row>
    <row r="674" spans="1:13" x14ac:dyDescent="0.3">
      <c r="A674" t="s">
        <v>1419</v>
      </c>
      <c r="B674" t="s">
        <v>1420</v>
      </c>
      <c r="C674" t="s">
        <v>93</v>
      </c>
      <c r="D674">
        <v>30</v>
      </c>
      <c r="E674" t="s">
        <v>184</v>
      </c>
      <c r="F674" t="s">
        <v>68</v>
      </c>
      <c r="G674" t="s">
        <v>29</v>
      </c>
      <c r="H674">
        <v>7</v>
      </c>
      <c r="I674" t="str" cm="1">
        <f t="array" ref="I674">_xlfn.IFS(H674&lt;=5, "0-5", H674&lt;=10, "6-10", H674&lt;=15, "11-15", H674&lt;=20, "16-20", H674&gt;20, "21+")</f>
        <v>6-10</v>
      </c>
      <c r="K674">
        <v>2.8</v>
      </c>
      <c r="L674" t="s">
        <v>2086</v>
      </c>
      <c r="M674" s="1">
        <v>0.71</v>
      </c>
    </row>
    <row r="675" spans="1:13" x14ac:dyDescent="0.3">
      <c r="A675" t="s">
        <v>1421</v>
      </c>
      <c r="B675" t="s">
        <v>1422</v>
      </c>
      <c r="C675" t="s">
        <v>93</v>
      </c>
      <c r="D675">
        <v>47</v>
      </c>
      <c r="E675" t="s">
        <v>134</v>
      </c>
      <c r="F675" t="s">
        <v>135</v>
      </c>
      <c r="G675" t="s">
        <v>42</v>
      </c>
      <c r="H675">
        <v>0</v>
      </c>
      <c r="I675" t="str" cm="1">
        <f t="array" ref="I675">_xlfn.IFS(H675&lt;=5, "0-5", H675&lt;=10, "6-10", H675&lt;=15, "11-15", H675&lt;=20, "16-20", H675&gt;20, "21+")</f>
        <v>0-5</v>
      </c>
      <c r="J675">
        <v>50</v>
      </c>
      <c r="K675">
        <v>2.7</v>
      </c>
      <c r="L675" t="s">
        <v>2085</v>
      </c>
      <c r="M675" s="1">
        <v>0.96</v>
      </c>
    </row>
    <row r="676" spans="1:13" x14ac:dyDescent="0.3">
      <c r="A676" t="s">
        <v>1423</v>
      </c>
      <c r="B676" t="s">
        <v>1424</v>
      </c>
      <c r="C676" t="s">
        <v>93</v>
      </c>
      <c r="D676">
        <v>34</v>
      </c>
      <c r="E676" t="s">
        <v>20</v>
      </c>
      <c r="F676" t="s">
        <v>21</v>
      </c>
      <c r="G676" t="s">
        <v>16</v>
      </c>
      <c r="H676">
        <v>21</v>
      </c>
      <c r="I676" t="str" cm="1">
        <f t="array" ref="I676">_xlfn.IFS(H676&lt;=5, "0-5", H676&lt;=10, "6-10", H676&lt;=15, "11-15", H676&lt;=20, "16-20", H676&gt;20, "21+")</f>
        <v>21+</v>
      </c>
      <c r="J676">
        <v>30</v>
      </c>
      <c r="K676">
        <v>3.9</v>
      </c>
    </row>
    <row r="677" spans="1:13" x14ac:dyDescent="0.3">
      <c r="A677" t="s">
        <v>1425</v>
      </c>
      <c r="B677" t="s">
        <v>1426</v>
      </c>
      <c r="C677" t="s">
        <v>93</v>
      </c>
      <c r="D677">
        <v>45</v>
      </c>
      <c r="E677" t="s">
        <v>55</v>
      </c>
      <c r="F677" t="s">
        <v>21</v>
      </c>
      <c r="G677" t="s">
        <v>29</v>
      </c>
      <c r="H677">
        <v>7</v>
      </c>
      <c r="I677" t="str" cm="1">
        <f t="array" ref="I677">_xlfn.IFS(H677&lt;=5, "0-5", H677&lt;=10, "6-10", H677&lt;=15, "11-15", H677&lt;=20, "16-20", H677&gt;20, "21+")</f>
        <v>6-10</v>
      </c>
      <c r="J677">
        <v>100</v>
      </c>
      <c r="K677">
        <v>4.5999999999999996</v>
      </c>
      <c r="L677" t="s">
        <v>2085</v>
      </c>
      <c r="M677" s="1">
        <v>0.78</v>
      </c>
    </row>
    <row r="678" spans="1:13" x14ac:dyDescent="0.3">
      <c r="A678" t="s">
        <v>1427</v>
      </c>
      <c r="B678" t="s">
        <v>1428</v>
      </c>
      <c r="C678" t="s">
        <v>73</v>
      </c>
      <c r="D678">
        <v>56</v>
      </c>
      <c r="E678" t="s">
        <v>184</v>
      </c>
      <c r="F678" t="s">
        <v>68</v>
      </c>
      <c r="G678" t="s">
        <v>74</v>
      </c>
      <c r="I678" t="str" cm="1">
        <f t="array" ref="I678">_xlfn.IFS(H678&lt;=5, "0-5", H678&lt;=10, "6-10", H678&lt;=15, "11-15", H678&lt;=20, "16-20", H678&gt;20, "21+")</f>
        <v>0-5</v>
      </c>
      <c r="J678">
        <v>20</v>
      </c>
      <c r="K678">
        <v>2.2000000000000002</v>
      </c>
      <c r="L678" t="s">
        <v>2085</v>
      </c>
      <c r="M678" s="1">
        <v>0.7</v>
      </c>
    </row>
    <row r="679" spans="1:13" x14ac:dyDescent="0.3">
      <c r="A679" t="s">
        <v>1429</v>
      </c>
      <c r="B679" t="s">
        <v>1430</v>
      </c>
      <c r="C679" t="s">
        <v>73</v>
      </c>
      <c r="D679">
        <v>49</v>
      </c>
      <c r="E679" t="s">
        <v>169</v>
      </c>
      <c r="F679" t="s">
        <v>170</v>
      </c>
      <c r="G679" t="s">
        <v>85</v>
      </c>
      <c r="I679" t="str" cm="1">
        <f t="array" ref="I679">_xlfn.IFS(H679&lt;=5, "0-5", H679&lt;=10, "6-10", H679&lt;=15, "11-15", H679&lt;=20, "16-20", H679&gt;20, "21+")</f>
        <v>0-5</v>
      </c>
      <c r="J679">
        <v>50</v>
      </c>
      <c r="K679">
        <v>2.5</v>
      </c>
      <c r="L679" t="s">
        <v>2085</v>
      </c>
      <c r="M679" s="1">
        <v>0.82</v>
      </c>
    </row>
    <row r="680" spans="1:13" x14ac:dyDescent="0.3">
      <c r="A680" t="s">
        <v>1431</v>
      </c>
      <c r="B680" t="s">
        <v>1432</v>
      </c>
      <c r="C680" t="s">
        <v>93</v>
      </c>
      <c r="D680">
        <v>48</v>
      </c>
      <c r="E680" t="s">
        <v>130</v>
      </c>
      <c r="F680" t="s">
        <v>131</v>
      </c>
      <c r="G680" t="s">
        <v>42</v>
      </c>
      <c r="H680">
        <v>25</v>
      </c>
      <c r="I680" t="str" cm="1">
        <f t="array" ref="I680">_xlfn.IFS(H680&lt;=5, "0-5", H680&lt;=10, "6-10", H680&lt;=15, "11-15", H680&lt;=20, "16-20", H680&gt;20, "21+")</f>
        <v>21+</v>
      </c>
      <c r="K680">
        <v>3.1</v>
      </c>
      <c r="L680" t="s">
        <v>2085</v>
      </c>
    </row>
    <row r="681" spans="1:13" x14ac:dyDescent="0.3">
      <c r="A681" t="s">
        <v>1433</v>
      </c>
      <c r="B681" t="s">
        <v>1434</v>
      </c>
      <c r="C681" t="s">
        <v>73</v>
      </c>
      <c r="D681">
        <v>29</v>
      </c>
      <c r="E681" t="s">
        <v>108</v>
      </c>
      <c r="F681" t="s">
        <v>109</v>
      </c>
      <c r="G681" t="s">
        <v>29</v>
      </c>
      <c r="H681">
        <v>1</v>
      </c>
      <c r="I681" t="str" cm="1">
        <f t="array" ref="I681">_xlfn.IFS(H681&lt;=5, "0-5", H681&lt;=10, "6-10", H681&lt;=15, "11-15", H681&lt;=20, "16-20", H681&gt;20, "21+")</f>
        <v>0-5</v>
      </c>
      <c r="J681">
        <v>20</v>
      </c>
      <c r="L681" t="s">
        <v>2086</v>
      </c>
      <c r="M681" s="1">
        <v>0.99</v>
      </c>
    </row>
    <row r="682" spans="1:13" x14ac:dyDescent="0.3">
      <c r="A682" t="s">
        <v>1435</v>
      </c>
      <c r="B682" t="s">
        <v>1436</v>
      </c>
      <c r="C682" t="s">
        <v>73</v>
      </c>
      <c r="D682">
        <v>49</v>
      </c>
      <c r="E682" t="s">
        <v>40</v>
      </c>
      <c r="F682" t="s">
        <v>41</v>
      </c>
      <c r="G682" t="s">
        <v>34</v>
      </c>
      <c r="H682">
        <v>7</v>
      </c>
      <c r="I682" t="str" cm="1">
        <f t="array" ref="I682">_xlfn.IFS(H682&lt;=5, "0-5", H682&lt;=10, "6-10", H682&lt;=15, "11-15", H682&lt;=20, "16-20", H682&gt;20, "21+")</f>
        <v>6-10</v>
      </c>
      <c r="J682">
        <v>75</v>
      </c>
      <c r="K682">
        <v>3.8</v>
      </c>
      <c r="L682" t="s">
        <v>2086</v>
      </c>
      <c r="M682" s="1">
        <v>0.93</v>
      </c>
    </row>
    <row r="683" spans="1:13" x14ac:dyDescent="0.3">
      <c r="A683" t="s">
        <v>1437</v>
      </c>
      <c r="B683" t="s">
        <v>1438</v>
      </c>
      <c r="C683" t="s">
        <v>73</v>
      </c>
      <c r="D683">
        <v>22</v>
      </c>
      <c r="E683" t="s">
        <v>169</v>
      </c>
      <c r="F683" t="s">
        <v>170</v>
      </c>
      <c r="G683" t="s">
        <v>16</v>
      </c>
      <c r="I683" t="str" cm="1">
        <f t="array" ref="I683">_xlfn.IFS(H683&lt;=5, "0-5", H683&lt;=10, "6-10", H683&lt;=15, "11-15", H683&lt;=20, "16-20", H683&gt;20, "21+")</f>
        <v>0-5</v>
      </c>
      <c r="J683">
        <v>100</v>
      </c>
      <c r="K683">
        <v>4.8</v>
      </c>
      <c r="L683" t="s">
        <v>2086</v>
      </c>
      <c r="M683" s="1">
        <v>0.75</v>
      </c>
    </row>
    <row r="684" spans="1:13" x14ac:dyDescent="0.3">
      <c r="A684" t="s">
        <v>1439</v>
      </c>
      <c r="B684" t="s">
        <v>1440</v>
      </c>
      <c r="C684" t="s">
        <v>93</v>
      </c>
      <c r="D684">
        <v>52</v>
      </c>
      <c r="E684" t="s">
        <v>173</v>
      </c>
      <c r="F684" t="s">
        <v>68</v>
      </c>
      <c r="G684" t="s">
        <v>29</v>
      </c>
      <c r="H684">
        <v>6</v>
      </c>
      <c r="I684" t="str" cm="1">
        <f t="array" ref="I684">_xlfn.IFS(H684&lt;=5, "0-5", H684&lt;=10, "6-10", H684&lt;=15, "11-15", H684&lt;=20, "16-20", H684&gt;20, "21+")</f>
        <v>6-10</v>
      </c>
      <c r="J684">
        <v>100</v>
      </c>
      <c r="K684">
        <v>2.5</v>
      </c>
      <c r="M684" s="1">
        <v>0.61</v>
      </c>
    </row>
    <row r="685" spans="1:13" x14ac:dyDescent="0.3">
      <c r="A685" t="s">
        <v>1441</v>
      </c>
      <c r="B685" t="s">
        <v>1442</v>
      </c>
      <c r="C685" t="s">
        <v>93</v>
      </c>
      <c r="D685">
        <v>60</v>
      </c>
      <c r="E685" t="s">
        <v>123</v>
      </c>
      <c r="F685" t="s">
        <v>21</v>
      </c>
      <c r="G685" t="s">
        <v>16</v>
      </c>
      <c r="H685">
        <v>35</v>
      </c>
      <c r="I685" t="str" cm="1">
        <f t="array" ref="I685">_xlfn.IFS(H685&lt;=5, "0-5", H685&lt;=10, "6-10", H685&lt;=15, "11-15", H685&lt;=20, "16-20", H685&gt;20, "21+")</f>
        <v>21+</v>
      </c>
      <c r="J685">
        <v>30</v>
      </c>
      <c r="K685">
        <v>0</v>
      </c>
      <c r="L685" t="s">
        <v>2085</v>
      </c>
      <c r="M685" s="1">
        <v>0.97</v>
      </c>
    </row>
    <row r="686" spans="1:13" x14ac:dyDescent="0.3">
      <c r="A686" t="s">
        <v>1443</v>
      </c>
      <c r="B686" t="s">
        <v>1444</v>
      </c>
      <c r="C686" t="s">
        <v>73</v>
      </c>
      <c r="D686">
        <v>33</v>
      </c>
      <c r="E686" t="s">
        <v>81</v>
      </c>
      <c r="F686" t="s">
        <v>82</v>
      </c>
      <c r="G686" t="s">
        <v>69</v>
      </c>
      <c r="H686">
        <v>1</v>
      </c>
      <c r="I686" t="str" cm="1">
        <f t="array" ref="I686">_xlfn.IFS(H686&lt;=5, "0-5", H686&lt;=10, "6-10", H686&lt;=15, "11-15", H686&lt;=20, "16-20", H686&gt;20, "21+")</f>
        <v>0-5</v>
      </c>
      <c r="J686">
        <v>100</v>
      </c>
      <c r="K686">
        <v>1.7</v>
      </c>
      <c r="L686" t="s">
        <v>2086</v>
      </c>
      <c r="M686" s="1">
        <v>0.95</v>
      </c>
    </row>
    <row r="687" spans="1:13" x14ac:dyDescent="0.3">
      <c r="A687" t="s">
        <v>1445</v>
      </c>
      <c r="B687" t="s">
        <v>1446</v>
      </c>
      <c r="C687" t="s">
        <v>93</v>
      </c>
      <c r="D687">
        <v>52</v>
      </c>
      <c r="E687" t="s">
        <v>108</v>
      </c>
      <c r="F687" t="s">
        <v>109</v>
      </c>
      <c r="G687" t="s">
        <v>29</v>
      </c>
      <c r="I687" t="str" cm="1">
        <f t="array" ref="I687">_xlfn.IFS(H687&lt;=5, "0-5", H687&lt;=10, "6-10", H687&lt;=15, "11-15", H687&lt;=20, "16-20", H687&gt;20, "21+")</f>
        <v>0-5</v>
      </c>
      <c r="J687">
        <v>40</v>
      </c>
      <c r="K687">
        <v>4</v>
      </c>
      <c r="M687" s="1">
        <v>0.69</v>
      </c>
    </row>
    <row r="688" spans="1:13" x14ac:dyDescent="0.3">
      <c r="A688" t="s">
        <v>1447</v>
      </c>
      <c r="B688" t="s">
        <v>1448</v>
      </c>
      <c r="C688" t="s">
        <v>73</v>
      </c>
      <c r="D688">
        <v>25</v>
      </c>
      <c r="E688" t="s">
        <v>27</v>
      </c>
      <c r="F688" t="s">
        <v>28</v>
      </c>
      <c r="G688" t="s">
        <v>85</v>
      </c>
      <c r="H688">
        <v>0</v>
      </c>
      <c r="I688" t="str" cm="1">
        <f t="array" ref="I688">_xlfn.IFS(H688&lt;=5, "0-5", H688&lt;=10, "6-10", H688&lt;=15, "11-15", H688&lt;=20, "16-20", H688&gt;20, "21+")</f>
        <v>0-5</v>
      </c>
      <c r="J688">
        <v>100</v>
      </c>
      <c r="K688">
        <v>1.9</v>
      </c>
      <c r="L688" t="s">
        <v>2085</v>
      </c>
      <c r="M688" s="1">
        <v>0.63</v>
      </c>
    </row>
    <row r="689" spans="1:13" x14ac:dyDescent="0.3">
      <c r="A689" t="s">
        <v>1449</v>
      </c>
      <c r="B689" t="s">
        <v>1450</v>
      </c>
      <c r="C689" t="s">
        <v>93</v>
      </c>
      <c r="D689">
        <v>33</v>
      </c>
      <c r="E689" t="s">
        <v>81</v>
      </c>
      <c r="F689" t="s">
        <v>82</v>
      </c>
      <c r="G689" t="s">
        <v>74</v>
      </c>
      <c r="H689">
        <v>9</v>
      </c>
      <c r="I689" t="str" cm="1">
        <f t="array" ref="I689">_xlfn.IFS(H689&lt;=5, "0-5", H689&lt;=10, "6-10", H689&lt;=15, "11-15", H689&lt;=20, "16-20", H689&gt;20, "21+")</f>
        <v>6-10</v>
      </c>
      <c r="J689">
        <v>30</v>
      </c>
      <c r="K689">
        <v>4.4000000000000004</v>
      </c>
      <c r="L689" t="s">
        <v>2086</v>
      </c>
      <c r="M689" s="1">
        <v>0.65</v>
      </c>
    </row>
    <row r="690" spans="1:13" x14ac:dyDescent="0.3">
      <c r="A690" t="s">
        <v>1451</v>
      </c>
      <c r="B690" t="s">
        <v>1452</v>
      </c>
      <c r="C690" t="s">
        <v>73</v>
      </c>
      <c r="D690">
        <v>33</v>
      </c>
      <c r="E690" t="s">
        <v>169</v>
      </c>
      <c r="F690" t="s">
        <v>170</v>
      </c>
      <c r="G690" t="s">
        <v>22</v>
      </c>
      <c r="H690">
        <v>18</v>
      </c>
      <c r="I690" t="str" cm="1">
        <f t="array" ref="I690">_xlfn.IFS(H690&lt;=5, "0-5", H690&lt;=10, "6-10", H690&lt;=15, "11-15", H690&lt;=20, "16-20", H690&gt;20, "21+")</f>
        <v>16-20</v>
      </c>
      <c r="K690">
        <v>4.2</v>
      </c>
      <c r="L690" t="s">
        <v>2086</v>
      </c>
      <c r="M690" s="1">
        <v>0.9</v>
      </c>
    </row>
    <row r="691" spans="1:13" x14ac:dyDescent="0.3">
      <c r="A691" t="s">
        <v>1453</v>
      </c>
      <c r="B691" t="s">
        <v>39</v>
      </c>
      <c r="C691" t="s">
        <v>73</v>
      </c>
      <c r="D691">
        <v>52</v>
      </c>
      <c r="E691" t="s">
        <v>123</v>
      </c>
      <c r="F691" t="s">
        <v>21</v>
      </c>
      <c r="G691" t="s">
        <v>69</v>
      </c>
      <c r="H691">
        <v>22</v>
      </c>
      <c r="I691" t="str" cm="1">
        <f t="array" ref="I691">_xlfn.IFS(H691&lt;=5, "0-5", H691&lt;=10, "6-10", H691&lt;=15, "11-15", H691&lt;=20, "16-20", H691&gt;20, "21+")</f>
        <v>21+</v>
      </c>
      <c r="J691">
        <v>100</v>
      </c>
      <c r="K691">
        <v>4.8</v>
      </c>
      <c r="L691" t="s">
        <v>2085</v>
      </c>
    </row>
    <row r="692" spans="1:13" x14ac:dyDescent="0.3">
      <c r="A692" t="s">
        <v>1454</v>
      </c>
      <c r="B692" t="s">
        <v>1455</v>
      </c>
      <c r="C692" t="s">
        <v>73</v>
      </c>
      <c r="D692">
        <v>20</v>
      </c>
      <c r="E692" t="s">
        <v>46</v>
      </c>
      <c r="F692" t="s">
        <v>47</v>
      </c>
      <c r="G692" t="s">
        <v>34</v>
      </c>
      <c r="H692">
        <v>25</v>
      </c>
      <c r="I692" t="str" cm="1">
        <f t="array" ref="I692">_xlfn.IFS(H692&lt;=5, "0-5", H692&lt;=10, "6-10", H692&lt;=15, "11-15", H692&lt;=20, "16-20", H692&gt;20, "21+")</f>
        <v>21+</v>
      </c>
      <c r="J692">
        <v>30</v>
      </c>
      <c r="K692">
        <v>2</v>
      </c>
      <c r="L692" t="s">
        <v>2085</v>
      </c>
      <c r="M692" s="1">
        <v>0.89</v>
      </c>
    </row>
    <row r="693" spans="1:13" x14ac:dyDescent="0.3">
      <c r="A693" t="s">
        <v>1456</v>
      </c>
      <c r="B693" t="s">
        <v>1457</v>
      </c>
      <c r="C693" t="s">
        <v>73</v>
      </c>
      <c r="D693">
        <v>43</v>
      </c>
      <c r="E693" t="s">
        <v>119</v>
      </c>
      <c r="F693" t="s">
        <v>120</v>
      </c>
      <c r="G693" t="s">
        <v>48</v>
      </c>
      <c r="H693">
        <v>6</v>
      </c>
      <c r="I693" t="str" cm="1">
        <f t="array" ref="I693">_xlfn.IFS(H693&lt;=5, "0-5", H693&lt;=10, "6-10", H693&lt;=15, "11-15", H693&lt;=20, "16-20", H693&gt;20, "21+")</f>
        <v>6-10</v>
      </c>
      <c r="J693">
        <v>50</v>
      </c>
      <c r="L693" t="s">
        <v>2086</v>
      </c>
      <c r="M693" s="1">
        <v>0.8</v>
      </c>
    </row>
    <row r="694" spans="1:13" x14ac:dyDescent="0.3">
      <c r="A694" t="s">
        <v>1458</v>
      </c>
      <c r="B694" t="s">
        <v>1414</v>
      </c>
      <c r="C694" t="s">
        <v>73</v>
      </c>
      <c r="D694">
        <v>31</v>
      </c>
      <c r="E694" t="s">
        <v>130</v>
      </c>
      <c r="F694" t="s">
        <v>131</v>
      </c>
      <c r="G694" t="s">
        <v>22</v>
      </c>
      <c r="H694">
        <v>10</v>
      </c>
      <c r="I694" t="str" cm="1">
        <f t="array" ref="I694">_xlfn.IFS(H694&lt;=5, "0-5", H694&lt;=10, "6-10", H694&lt;=15, "11-15", H694&lt;=20, "16-20", H694&gt;20, "21+")</f>
        <v>6-10</v>
      </c>
      <c r="J694">
        <v>50</v>
      </c>
      <c r="K694">
        <v>1.4</v>
      </c>
      <c r="L694" t="s">
        <v>2085</v>
      </c>
      <c r="M694" s="1">
        <v>0.8</v>
      </c>
    </row>
    <row r="695" spans="1:13" x14ac:dyDescent="0.3">
      <c r="A695" t="s">
        <v>1459</v>
      </c>
      <c r="B695" t="s">
        <v>1460</v>
      </c>
      <c r="C695" t="s">
        <v>73</v>
      </c>
      <c r="D695">
        <v>29</v>
      </c>
      <c r="E695" t="s">
        <v>27</v>
      </c>
      <c r="F695" t="s">
        <v>28</v>
      </c>
      <c r="G695" t="s">
        <v>48</v>
      </c>
      <c r="H695">
        <v>4</v>
      </c>
      <c r="I695" t="str" cm="1">
        <f t="array" ref="I695">_xlfn.IFS(H695&lt;=5, "0-5", H695&lt;=10, "6-10", H695&lt;=15, "11-15", H695&lt;=20, "16-20", H695&gt;20, "21+")</f>
        <v>0-5</v>
      </c>
      <c r="J695">
        <v>100</v>
      </c>
      <c r="K695">
        <v>1.8</v>
      </c>
      <c r="L695" t="s">
        <v>2085</v>
      </c>
    </row>
    <row r="696" spans="1:13" x14ac:dyDescent="0.3">
      <c r="A696" t="s">
        <v>1461</v>
      </c>
      <c r="B696" t="s">
        <v>832</v>
      </c>
      <c r="C696" t="s">
        <v>73</v>
      </c>
      <c r="D696">
        <v>53</v>
      </c>
      <c r="E696" t="s">
        <v>148</v>
      </c>
      <c r="F696" t="s">
        <v>149</v>
      </c>
      <c r="G696" t="s">
        <v>29</v>
      </c>
      <c r="H696">
        <v>11</v>
      </c>
      <c r="I696" t="str" cm="1">
        <f t="array" ref="I696">_xlfn.IFS(H696&lt;=5, "0-5", H696&lt;=10, "6-10", H696&lt;=15, "11-15", H696&lt;=20, "16-20", H696&gt;20, "21+")</f>
        <v>11-15</v>
      </c>
      <c r="K696">
        <v>0</v>
      </c>
      <c r="L696" t="s">
        <v>2086</v>
      </c>
      <c r="M696" s="1">
        <v>0.67</v>
      </c>
    </row>
    <row r="697" spans="1:13" x14ac:dyDescent="0.3">
      <c r="A697" t="s">
        <v>1462</v>
      </c>
      <c r="B697" t="s">
        <v>1463</v>
      </c>
      <c r="C697" t="s">
        <v>93</v>
      </c>
      <c r="D697">
        <v>38</v>
      </c>
      <c r="E697" t="s">
        <v>89</v>
      </c>
      <c r="F697" t="s">
        <v>90</v>
      </c>
      <c r="G697" t="s">
        <v>22</v>
      </c>
      <c r="H697">
        <v>1</v>
      </c>
      <c r="I697" t="str" cm="1">
        <f t="array" ref="I697">_xlfn.IFS(H697&lt;=5, "0-5", H697&lt;=10, "6-10", H697&lt;=15, "11-15", H697&lt;=20, "16-20", H697&gt;20, "21+")</f>
        <v>0-5</v>
      </c>
      <c r="J697">
        <v>40</v>
      </c>
      <c r="K697">
        <v>0</v>
      </c>
      <c r="L697" t="s">
        <v>2085</v>
      </c>
      <c r="M697" s="1">
        <v>0.96</v>
      </c>
    </row>
    <row r="698" spans="1:13" x14ac:dyDescent="0.3">
      <c r="A698" t="s">
        <v>1464</v>
      </c>
      <c r="B698" t="s">
        <v>1465</v>
      </c>
      <c r="C698" t="s">
        <v>93</v>
      </c>
      <c r="D698">
        <v>29</v>
      </c>
      <c r="E698" t="s">
        <v>184</v>
      </c>
      <c r="F698" t="s">
        <v>68</v>
      </c>
      <c r="G698" t="s">
        <v>29</v>
      </c>
      <c r="H698">
        <v>35</v>
      </c>
      <c r="I698" t="str" cm="1">
        <f t="array" ref="I698">_xlfn.IFS(H698&lt;=5, "0-5", H698&lt;=10, "6-10", H698&lt;=15, "11-15", H698&lt;=20, "16-20", H698&gt;20, "21+")</f>
        <v>21+</v>
      </c>
      <c r="J698">
        <v>20</v>
      </c>
      <c r="K698">
        <v>0</v>
      </c>
      <c r="L698" t="s">
        <v>2085</v>
      </c>
      <c r="M698" s="1">
        <v>0.9</v>
      </c>
    </row>
    <row r="699" spans="1:13" x14ac:dyDescent="0.3">
      <c r="A699" t="s">
        <v>1466</v>
      </c>
      <c r="B699" t="s">
        <v>1467</v>
      </c>
      <c r="C699" t="s">
        <v>93</v>
      </c>
      <c r="D699">
        <v>42</v>
      </c>
      <c r="E699" t="s">
        <v>108</v>
      </c>
      <c r="F699" t="s">
        <v>109</v>
      </c>
      <c r="G699" t="s">
        <v>69</v>
      </c>
      <c r="H699">
        <v>17</v>
      </c>
      <c r="I699" t="str" cm="1">
        <f t="array" ref="I699">_xlfn.IFS(H699&lt;=5, "0-5", H699&lt;=10, "6-10", H699&lt;=15, "11-15", H699&lt;=20, "16-20", H699&gt;20, "21+")</f>
        <v>16-20</v>
      </c>
      <c r="K699">
        <v>3.9</v>
      </c>
      <c r="L699" t="s">
        <v>2085</v>
      </c>
      <c r="M699" s="1">
        <v>0.62</v>
      </c>
    </row>
    <row r="700" spans="1:13" x14ac:dyDescent="0.3">
      <c r="A700" t="s">
        <v>1468</v>
      </c>
      <c r="B700" t="s">
        <v>1469</v>
      </c>
      <c r="C700" t="s">
        <v>73</v>
      </c>
      <c r="D700">
        <v>54</v>
      </c>
      <c r="E700" t="s">
        <v>55</v>
      </c>
      <c r="F700" t="s">
        <v>21</v>
      </c>
      <c r="G700" t="s">
        <v>110</v>
      </c>
      <c r="H700">
        <v>12</v>
      </c>
      <c r="I700" t="str" cm="1">
        <f t="array" ref="I700">_xlfn.IFS(H700&lt;=5, "0-5", H700&lt;=10, "6-10", H700&lt;=15, "11-15", H700&lt;=20, "16-20", H700&gt;20, "21+")</f>
        <v>11-15</v>
      </c>
      <c r="J700">
        <v>100</v>
      </c>
      <c r="L700" t="s">
        <v>2085</v>
      </c>
      <c r="M700" s="1">
        <v>0.72</v>
      </c>
    </row>
    <row r="701" spans="1:13" x14ac:dyDescent="0.3">
      <c r="A701" t="s">
        <v>1470</v>
      </c>
      <c r="B701" t="s">
        <v>1471</v>
      </c>
      <c r="C701" t="s">
        <v>93</v>
      </c>
      <c r="D701">
        <v>56</v>
      </c>
      <c r="E701" t="s">
        <v>169</v>
      </c>
      <c r="F701" t="s">
        <v>170</v>
      </c>
      <c r="G701" t="s">
        <v>69</v>
      </c>
      <c r="H701">
        <v>30</v>
      </c>
      <c r="I701" t="str" cm="1">
        <f t="array" ref="I701">_xlfn.IFS(H701&lt;=5, "0-5", H701&lt;=10, "6-10", H701&lt;=15, "11-15", H701&lt;=20, "16-20", H701&gt;20, "21+")</f>
        <v>21+</v>
      </c>
      <c r="J701">
        <v>50</v>
      </c>
      <c r="K701">
        <v>4.4000000000000004</v>
      </c>
      <c r="L701" t="s">
        <v>2086</v>
      </c>
      <c r="M701" s="1">
        <v>0.83</v>
      </c>
    </row>
    <row r="702" spans="1:13" x14ac:dyDescent="0.3">
      <c r="A702" t="s">
        <v>1472</v>
      </c>
      <c r="B702" t="s">
        <v>1473</v>
      </c>
      <c r="C702" t="s">
        <v>73</v>
      </c>
      <c r="D702">
        <v>47</v>
      </c>
      <c r="E702" t="s">
        <v>59</v>
      </c>
      <c r="F702" t="s">
        <v>60</v>
      </c>
      <c r="G702" t="s">
        <v>29</v>
      </c>
      <c r="H702">
        <v>20</v>
      </c>
      <c r="I702" t="str" cm="1">
        <f t="array" ref="I702">_xlfn.IFS(H702&lt;=5, "0-5", H702&lt;=10, "6-10", H702&lt;=15, "11-15", H702&lt;=20, "16-20", H702&gt;20, "21+")</f>
        <v>16-20</v>
      </c>
      <c r="J702">
        <v>100</v>
      </c>
      <c r="K702">
        <v>4.4000000000000004</v>
      </c>
      <c r="L702" t="s">
        <v>2085</v>
      </c>
      <c r="M702" s="1">
        <v>0.7</v>
      </c>
    </row>
    <row r="703" spans="1:13" x14ac:dyDescent="0.3">
      <c r="A703" t="s">
        <v>1474</v>
      </c>
      <c r="B703" t="s">
        <v>1475</v>
      </c>
      <c r="C703" t="s">
        <v>93</v>
      </c>
      <c r="D703">
        <v>45</v>
      </c>
      <c r="E703" t="s">
        <v>119</v>
      </c>
      <c r="F703" t="s">
        <v>120</v>
      </c>
      <c r="G703" t="s">
        <v>16</v>
      </c>
      <c r="H703">
        <v>22</v>
      </c>
      <c r="I703" t="str" cm="1">
        <f t="array" ref="I703">_xlfn.IFS(H703&lt;=5, "0-5", H703&lt;=10, "6-10", H703&lt;=15, "11-15", H703&lt;=20, "16-20", H703&gt;20, "21+")</f>
        <v>21+</v>
      </c>
      <c r="J703">
        <v>50</v>
      </c>
      <c r="K703">
        <v>0</v>
      </c>
      <c r="L703" t="s">
        <v>2085</v>
      </c>
      <c r="M703" s="1">
        <v>0.99</v>
      </c>
    </row>
    <row r="704" spans="1:13" x14ac:dyDescent="0.3">
      <c r="A704" t="s">
        <v>1476</v>
      </c>
      <c r="B704" t="s">
        <v>1477</v>
      </c>
      <c r="C704" t="s">
        <v>93</v>
      </c>
      <c r="D704">
        <v>45</v>
      </c>
      <c r="E704" t="s">
        <v>169</v>
      </c>
      <c r="F704" t="s">
        <v>170</v>
      </c>
      <c r="G704" t="s">
        <v>48</v>
      </c>
      <c r="H704">
        <v>32</v>
      </c>
      <c r="I704" t="str" cm="1">
        <f t="array" ref="I704">_xlfn.IFS(H704&lt;=5, "0-5", H704&lt;=10, "6-10", H704&lt;=15, "11-15", H704&lt;=20, "16-20", H704&gt;20, "21+")</f>
        <v>21+</v>
      </c>
      <c r="J704">
        <v>50</v>
      </c>
      <c r="K704">
        <v>1.4</v>
      </c>
      <c r="M704" s="1">
        <v>0.97</v>
      </c>
    </row>
    <row r="705" spans="1:13" x14ac:dyDescent="0.3">
      <c r="A705" t="s">
        <v>1478</v>
      </c>
      <c r="B705" t="s">
        <v>1479</v>
      </c>
      <c r="C705" t="s">
        <v>93</v>
      </c>
      <c r="D705">
        <v>35</v>
      </c>
      <c r="E705" t="s">
        <v>123</v>
      </c>
      <c r="F705" t="s">
        <v>21</v>
      </c>
      <c r="G705" t="s">
        <v>110</v>
      </c>
      <c r="H705">
        <v>9</v>
      </c>
      <c r="I705" t="str" cm="1">
        <f t="array" ref="I705">_xlfn.IFS(H705&lt;=5, "0-5", H705&lt;=10, "6-10", H705&lt;=15, "11-15", H705&lt;=20, "16-20", H705&gt;20, "21+")</f>
        <v>6-10</v>
      </c>
      <c r="J705">
        <v>20</v>
      </c>
      <c r="K705">
        <v>3.2</v>
      </c>
      <c r="L705" t="s">
        <v>2086</v>
      </c>
      <c r="M705" s="1">
        <v>0.77</v>
      </c>
    </row>
    <row r="706" spans="1:13" x14ac:dyDescent="0.3">
      <c r="A706" t="s">
        <v>1480</v>
      </c>
      <c r="B706" t="s">
        <v>1481</v>
      </c>
      <c r="C706" t="s">
        <v>93</v>
      </c>
      <c r="D706">
        <v>51</v>
      </c>
      <c r="E706" t="s">
        <v>123</v>
      </c>
      <c r="F706" t="s">
        <v>21</v>
      </c>
      <c r="G706" t="s">
        <v>85</v>
      </c>
      <c r="H706">
        <v>22</v>
      </c>
      <c r="I706" t="str" cm="1">
        <f t="array" ref="I706">_xlfn.IFS(H706&lt;=5, "0-5", H706&lt;=10, "6-10", H706&lt;=15, "11-15", H706&lt;=20, "16-20", H706&gt;20, "21+")</f>
        <v>21+</v>
      </c>
      <c r="J706">
        <v>50</v>
      </c>
      <c r="K706">
        <v>2</v>
      </c>
      <c r="L706" t="s">
        <v>2085</v>
      </c>
      <c r="M706" s="1">
        <v>0.92</v>
      </c>
    </row>
    <row r="707" spans="1:13" x14ac:dyDescent="0.3">
      <c r="A707" t="s">
        <v>1482</v>
      </c>
      <c r="B707" t="s">
        <v>1483</v>
      </c>
      <c r="C707" t="s">
        <v>73</v>
      </c>
      <c r="D707">
        <v>34</v>
      </c>
      <c r="E707" t="s">
        <v>184</v>
      </c>
      <c r="F707" t="s">
        <v>68</v>
      </c>
      <c r="G707" t="s">
        <v>22</v>
      </c>
      <c r="H707">
        <v>1</v>
      </c>
      <c r="I707" t="str" cm="1">
        <f t="array" ref="I707">_xlfn.IFS(H707&lt;=5, "0-5", H707&lt;=10, "6-10", H707&lt;=15, "11-15", H707&lt;=20, "16-20", H707&gt;20, "21+")</f>
        <v>0-5</v>
      </c>
      <c r="J707">
        <v>50</v>
      </c>
      <c r="K707">
        <v>3.3</v>
      </c>
      <c r="L707" t="s">
        <v>2086</v>
      </c>
      <c r="M707" s="1">
        <v>0.76</v>
      </c>
    </row>
    <row r="708" spans="1:13" x14ac:dyDescent="0.3">
      <c r="A708" t="s">
        <v>1484</v>
      </c>
      <c r="B708" t="s">
        <v>1485</v>
      </c>
      <c r="C708" t="s">
        <v>73</v>
      </c>
      <c r="D708">
        <v>51</v>
      </c>
      <c r="E708" t="s">
        <v>46</v>
      </c>
      <c r="F708" t="s">
        <v>47</v>
      </c>
      <c r="G708" t="s">
        <v>29</v>
      </c>
      <c r="H708">
        <v>4</v>
      </c>
      <c r="I708" t="str" cm="1">
        <f t="array" ref="I708">_xlfn.IFS(H708&lt;=5, "0-5", H708&lt;=10, "6-10", H708&lt;=15, "11-15", H708&lt;=20, "16-20", H708&gt;20, "21+")</f>
        <v>0-5</v>
      </c>
      <c r="J708">
        <v>50</v>
      </c>
      <c r="K708">
        <v>0</v>
      </c>
      <c r="L708" t="s">
        <v>2086</v>
      </c>
      <c r="M708" s="1">
        <v>0.97</v>
      </c>
    </row>
    <row r="709" spans="1:13" x14ac:dyDescent="0.3">
      <c r="A709" t="s">
        <v>1486</v>
      </c>
      <c r="B709" t="s">
        <v>1487</v>
      </c>
      <c r="C709" t="s">
        <v>93</v>
      </c>
      <c r="D709">
        <v>58</v>
      </c>
      <c r="E709" t="s">
        <v>134</v>
      </c>
      <c r="F709" t="s">
        <v>135</v>
      </c>
      <c r="G709" t="s">
        <v>29</v>
      </c>
      <c r="H709">
        <v>8</v>
      </c>
      <c r="I709" t="str" cm="1">
        <f t="array" ref="I709">_xlfn.IFS(H709&lt;=5, "0-5", H709&lt;=10, "6-10", H709&lt;=15, "11-15", H709&lt;=20, "16-20", H709&gt;20, "21+")</f>
        <v>6-10</v>
      </c>
      <c r="J709">
        <v>100</v>
      </c>
      <c r="K709">
        <v>2.2999999999999998</v>
      </c>
      <c r="L709" t="s">
        <v>2086</v>
      </c>
    </row>
    <row r="710" spans="1:13" x14ac:dyDescent="0.3">
      <c r="A710" t="s">
        <v>1488</v>
      </c>
      <c r="B710" t="s">
        <v>1489</v>
      </c>
      <c r="C710" t="s">
        <v>73</v>
      </c>
      <c r="D710">
        <v>36</v>
      </c>
      <c r="E710" t="s">
        <v>40</v>
      </c>
      <c r="F710" t="s">
        <v>41</v>
      </c>
      <c r="G710" t="s">
        <v>34</v>
      </c>
      <c r="H710">
        <v>3</v>
      </c>
      <c r="I710" t="str" cm="1">
        <f t="array" ref="I710">_xlfn.IFS(H710&lt;=5, "0-5", H710&lt;=10, "6-10", H710&lt;=15, "11-15", H710&lt;=20, "16-20", H710&gt;20, "21+")</f>
        <v>0-5</v>
      </c>
      <c r="J710">
        <v>20</v>
      </c>
      <c r="K710">
        <v>0</v>
      </c>
      <c r="L710" t="s">
        <v>2086</v>
      </c>
      <c r="M710" s="1">
        <v>0.99</v>
      </c>
    </row>
    <row r="711" spans="1:13" x14ac:dyDescent="0.3">
      <c r="A711" t="s">
        <v>1490</v>
      </c>
      <c r="B711" t="s">
        <v>1491</v>
      </c>
      <c r="C711" t="s">
        <v>93</v>
      </c>
      <c r="E711" t="s">
        <v>119</v>
      </c>
      <c r="F711" t="s">
        <v>120</v>
      </c>
      <c r="G711" t="s">
        <v>42</v>
      </c>
      <c r="H711">
        <v>30</v>
      </c>
      <c r="I711" t="str" cm="1">
        <f t="array" ref="I711">_xlfn.IFS(H711&lt;=5, "0-5", H711&lt;=10, "6-10", H711&lt;=15, "11-15", H711&lt;=20, "16-20", H711&gt;20, "21+")</f>
        <v>21+</v>
      </c>
      <c r="J711">
        <v>30</v>
      </c>
      <c r="K711">
        <v>2.6</v>
      </c>
      <c r="L711" t="s">
        <v>2086</v>
      </c>
    </row>
    <row r="712" spans="1:13" x14ac:dyDescent="0.3">
      <c r="A712" t="s">
        <v>1492</v>
      </c>
      <c r="B712" t="s">
        <v>1493</v>
      </c>
      <c r="C712" t="s">
        <v>93</v>
      </c>
      <c r="D712">
        <v>56</v>
      </c>
      <c r="E712" t="s">
        <v>148</v>
      </c>
      <c r="F712" t="s">
        <v>149</v>
      </c>
      <c r="G712" t="s">
        <v>110</v>
      </c>
      <c r="H712">
        <v>11</v>
      </c>
      <c r="I712" t="str" cm="1">
        <f t="array" ref="I712">_xlfn.IFS(H712&lt;=5, "0-5", H712&lt;=10, "6-10", H712&lt;=15, "11-15", H712&lt;=20, "16-20", H712&gt;20, "21+")</f>
        <v>11-15</v>
      </c>
      <c r="J712">
        <v>40</v>
      </c>
      <c r="K712">
        <v>3.3</v>
      </c>
      <c r="L712" t="s">
        <v>2086</v>
      </c>
      <c r="M712" s="1">
        <v>0.82</v>
      </c>
    </row>
    <row r="713" spans="1:13" x14ac:dyDescent="0.3">
      <c r="A713" t="s">
        <v>1494</v>
      </c>
      <c r="B713" t="s">
        <v>1495</v>
      </c>
      <c r="C713" t="s">
        <v>73</v>
      </c>
      <c r="D713">
        <v>58</v>
      </c>
      <c r="E713" t="s">
        <v>123</v>
      </c>
      <c r="F713" t="s">
        <v>21</v>
      </c>
      <c r="G713" t="s">
        <v>74</v>
      </c>
      <c r="H713">
        <v>8</v>
      </c>
      <c r="I713" t="str" cm="1">
        <f t="array" ref="I713">_xlfn.IFS(H713&lt;=5, "0-5", H713&lt;=10, "6-10", H713&lt;=15, "11-15", H713&lt;=20, "16-20", H713&gt;20, "21+")</f>
        <v>6-10</v>
      </c>
      <c r="J713">
        <v>75</v>
      </c>
      <c r="K713">
        <v>3.6</v>
      </c>
      <c r="L713" t="s">
        <v>2086</v>
      </c>
      <c r="M713" s="1">
        <v>0.78</v>
      </c>
    </row>
    <row r="714" spans="1:13" x14ac:dyDescent="0.3">
      <c r="A714" t="s">
        <v>1496</v>
      </c>
      <c r="B714" t="s">
        <v>1497</v>
      </c>
      <c r="C714" t="s">
        <v>73</v>
      </c>
      <c r="D714">
        <v>58</v>
      </c>
      <c r="E714" t="s">
        <v>55</v>
      </c>
      <c r="F714" t="s">
        <v>21</v>
      </c>
      <c r="G714" t="s">
        <v>74</v>
      </c>
      <c r="H714">
        <v>11</v>
      </c>
      <c r="I714" t="str" cm="1">
        <f t="array" ref="I714">_xlfn.IFS(H714&lt;=5, "0-5", H714&lt;=10, "6-10", H714&lt;=15, "11-15", H714&lt;=20, "16-20", H714&gt;20, "21+")</f>
        <v>11-15</v>
      </c>
      <c r="J714">
        <v>100</v>
      </c>
      <c r="K714">
        <v>3.7</v>
      </c>
      <c r="L714" t="s">
        <v>2085</v>
      </c>
    </row>
    <row r="715" spans="1:13" x14ac:dyDescent="0.3">
      <c r="A715" t="s">
        <v>1498</v>
      </c>
      <c r="B715" t="s">
        <v>1499</v>
      </c>
      <c r="C715" t="s">
        <v>73</v>
      </c>
      <c r="D715">
        <v>54</v>
      </c>
      <c r="E715" t="s">
        <v>63</v>
      </c>
      <c r="F715" t="s">
        <v>21</v>
      </c>
      <c r="G715" t="s">
        <v>42</v>
      </c>
      <c r="H715">
        <v>9</v>
      </c>
      <c r="I715" t="str" cm="1">
        <f t="array" ref="I715">_xlfn.IFS(H715&lt;=5, "0-5", H715&lt;=10, "6-10", H715&lt;=15, "11-15", H715&lt;=20, "16-20", H715&gt;20, "21+")</f>
        <v>6-10</v>
      </c>
      <c r="J715">
        <v>20</v>
      </c>
      <c r="K715">
        <v>3.4</v>
      </c>
      <c r="L715" t="s">
        <v>2085</v>
      </c>
    </row>
    <row r="716" spans="1:13" x14ac:dyDescent="0.3">
      <c r="A716" t="s">
        <v>1500</v>
      </c>
      <c r="B716" t="s">
        <v>1501</v>
      </c>
      <c r="C716" t="s">
        <v>93</v>
      </c>
      <c r="D716">
        <v>53</v>
      </c>
      <c r="E716" t="s">
        <v>20</v>
      </c>
      <c r="F716" t="s">
        <v>21</v>
      </c>
      <c r="G716" t="s">
        <v>69</v>
      </c>
      <c r="H716">
        <v>7</v>
      </c>
      <c r="I716" t="str" cm="1">
        <f t="array" ref="I716">_xlfn.IFS(H716&lt;=5, "0-5", H716&lt;=10, "6-10", H716&lt;=15, "11-15", H716&lt;=20, "16-20", H716&gt;20, "21+")</f>
        <v>6-10</v>
      </c>
      <c r="J716">
        <v>50</v>
      </c>
      <c r="K716">
        <v>4</v>
      </c>
      <c r="L716" t="s">
        <v>2086</v>
      </c>
      <c r="M716" s="1">
        <v>0.72</v>
      </c>
    </row>
    <row r="717" spans="1:13" x14ac:dyDescent="0.3">
      <c r="A717" t="s">
        <v>1502</v>
      </c>
      <c r="B717" t="s">
        <v>1503</v>
      </c>
      <c r="C717" t="s">
        <v>73</v>
      </c>
      <c r="D717">
        <v>43</v>
      </c>
      <c r="E717" t="s">
        <v>20</v>
      </c>
      <c r="F717" t="s">
        <v>21</v>
      </c>
      <c r="G717" t="s">
        <v>34</v>
      </c>
      <c r="H717">
        <v>24</v>
      </c>
      <c r="I717" t="str" cm="1">
        <f t="array" ref="I717">_xlfn.IFS(H717&lt;=5, "0-5", H717&lt;=10, "6-10", H717&lt;=15, "11-15", H717&lt;=20, "16-20", H717&gt;20, "21+")</f>
        <v>21+</v>
      </c>
      <c r="J717">
        <v>40</v>
      </c>
      <c r="K717">
        <v>4.5</v>
      </c>
    </row>
    <row r="718" spans="1:13" x14ac:dyDescent="0.3">
      <c r="A718" t="s">
        <v>1504</v>
      </c>
      <c r="B718" t="s">
        <v>1505</v>
      </c>
      <c r="C718" t="s">
        <v>93</v>
      </c>
      <c r="D718">
        <v>44</v>
      </c>
      <c r="E718" t="s">
        <v>108</v>
      </c>
      <c r="F718" t="s">
        <v>109</v>
      </c>
      <c r="G718" t="s">
        <v>110</v>
      </c>
      <c r="H718">
        <v>0</v>
      </c>
      <c r="I718" t="str" cm="1">
        <f t="array" ref="I718">_xlfn.IFS(H718&lt;=5, "0-5", H718&lt;=10, "6-10", H718&lt;=15, "11-15", H718&lt;=20, "16-20", H718&gt;20, "21+")</f>
        <v>0-5</v>
      </c>
      <c r="J718">
        <v>75</v>
      </c>
      <c r="K718">
        <v>4.3</v>
      </c>
      <c r="L718" t="s">
        <v>2086</v>
      </c>
    </row>
    <row r="719" spans="1:13" x14ac:dyDescent="0.3">
      <c r="A719" t="s">
        <v>1506</v>
      </c>
      <c r="B719" t="s">
        <v>1507</v>
      </c>
      <c r="C719" t="s">
        <v>93</v>
      </c>
      <c r="D719">
        <v>34</v>
      </c>
      <c r="E719" t="s">
        <v>123</v>
      </c>
      <c r="F719" t="s">
        <v>21</v>
      </c>
      <c r="G719" t="s">
        <v>74</v>
      </c>
      <c r="H719">
        <v>21</v>
      </c>
      <c r="I719" t="str" cm="1">
        <f t="array" ref="I719">_xlfn.IFS(H719&lt;=5, "0-5", H719&lt;=10, "6-10", H719&lt;=15, "11-15", H719&lt;=20, "16-20", H719&gt;20, "21+")</f>
        <v>21+</v>
      </c>
      <c r="J719">
        <v>75</v>
      </c>
      <c r="K719">
        <v>4</v>
      </c>
      <c r="L719" t="s">
        <v>2086</v>
      </c>
    </row>
    <row r="720" spans="1:13" x14ac:dyDescent="0.3">
      <c r="A720" t="s">
        <v>1508</v>
      </c>
      <c r="B720" t="s">
        <v>1509</v>
      </c>
      <c r="C720" t="s">
        <v>73</v>
      </c>
      <c r="D720">
        <v>27</v>
      </c>
      <c r="E720" t="s">
        <v>103</v>
      </c>
      <c r="F720" t="s">
        <v>104</v>
      </c>
      <c r="G720" t="s">
        <v>22</v>
      </c>
      <c r="H720">
        <v>0</v>
      </c>
      <c r="I720" t="str" cm="1">
        <f t="array" ref="I720">_xlfn.IFS(H720&lt;=5, "0-5", H720&lt;=10, "6-10", H720&lt;=15, "11-15", H720&lt;=20, "16-20", H720&gt;20, "21+")</f>
        <v>0-5</v>
      </c>
      <c r="J720">
        <v>50</v>
      </c>
      <c r="K720">
        <v>1.6</v>
      </c>
      <c r="L720" t="s">
        <v>2086</v>
      </c>
    </row>
    <row r="721" spans="1:13" x14ac:dyDescent="0.3">
      <c r="A721" t="s">
        <v>1510</v>
      </c>
      <c r="B721" t="s">
        <v>1511</v>
      </c>
      <c r="C721" t="s">
        <v>93</v>
      </c>
      <c r="D721">
        <v>50</v>
      </c>
      <c r="E721" t="s">
        <v>81</v>
      </c>
      <c r="F721" t="s">
        <v>82</v>
      </c>
      <c r="G721" t="s">
        <v>48</v>
      </c>
      <c r="H721">
        <v>7</v>
      </c>
      <c r="I721" t="str" cm="1">
        <f t="array" ref="I721">_xlfn.IFS(H721&lt;=5, "0-5", H721&lt;=10, "6-10", H721&lt;=15, "11-15", H721&lt;=20, "16-20", H721&gt;20, "21+")</f>
        <v>6-10</v>
      </c>
      <c r="J721">
        <v>100</v>
      </c>
      <c r="K721">
        <v>0</v>
      </c>
      <c r="L721" t="s">
        <v>2086</v>
      </c>
    </row>
    <row r="722" spans="1:13" x14ac:dyDescent="0.3">
      <c r="A722" t="s">
        <v>1512</v>
      </c>
      <c r="B722" t="s">
        <v>1513</v>
      </c>
      <c r="C722" t="s">
        <v>73</v>
      </c>
      <c r="D722">
        <v>52</v>
      </c>
      <c r="E722" t="s">
        <v>108</v>
      </c>
      <c r="F722" t="s">
        <v>109</v>
      </c>
      <c r="G722" t="s">
        <v>69</v>
      </c>
      <c r="H722">
        <v>3</v>
      </c>
      <c r="I722" t="str" cm="1">
        <f t="array" ref="I722">_xlfn.IFS(H722&lt;=5, "0-5", H722&lt;=10, "6-10", H722&lt;=15, "11-15", H722&lt;=20, "16-20", H722&gt;20, "21+")</f>
        <v>0-5</v>
      </c>
      <c r="J722">
        <v>75</v>
      </c>
      <c r="L722" t="s">
        <v>2085</v>
      </c>
      <c r="M722" s="1">
        <v>0.94</v>
      </c>
    </row>
    <row r="723" spans="1:13" x14ac:dyDescent="0.3">
      <c r="A723" t="s">
        <v>1514</v>
      </c>
      <c r="B723" t="s">
        <v>1515</v>
      </c>
      <c r="C723" t="s">
        <v>93</v>
      </c>
      <c r="D723">
        <v>57</v>
      </c>
      <c r="E723" t="s">
        <v>184</v>
      </c>
      <c r="F723" t="s">
        <v>68</v>
      </c>
      <c r="G723" t="s">
        <v>16</v>
      </c>
      <c r="H723">
        <v>21</v>
      </c>
      <c r="I723" t="str" cm="1">
        <f t="array" ref="I723">_xlfn.IFS(H723&lt;=5, "0-5", H723&lt;=10, "6-10", H723&lt;=15, "11-15", H723&lt;=20, "16-20", H723&gt;20, "21+")</f>
        <v>21+</v>
      </c>
      <c r="J723">
        <v>20</v>
      </c>
      <c r="K723">
        <v>4.9000000000000004</v>
      </c>
      <c r="L723" t="s">
        <v>2086</v>
      </c>
    </row>
    <row r="724" spans="1:13" x14ac:dyDescent="0.3">
      <c r="A724" t="s">
        <v>1516</v>
      </c>
      <c r="B724" t="s">
        <v>1517</v>
      </c>
      <c r="C724" t="s">
        <v>73</v>
      </c>
      <c r="D724">
        <v>53</v>
      </c>
      <c r="E724" t="s">
        <v>173</v>
      </c>
      <c r="F724" t="s">
        <v>68</v>
      </c>
      <c r="G724" t="s">
        <v>85</v>
      </c>
      <c r="I724" t="str" cm="1">
        <f t="array" ref="I724">_xlfn.IFS(H724&lt;=5, "0-5", H724&lt;=10, "6-10", H724&lt;=15, "11-15", H724&lt;=20, "16-20", H724&gt;20, "21+")</f>
        <v>0-5</v>
      </c>
      <c r="J724">
        <v>20</v>
      </c>
      <c r="K724">
        <v>2.8</v>
      </c>
      <c r="L724" t="s">
        <v>2086</v>
      </c>
    </row>
    <row r="725" spans="1:13" x14ac:dyDescent="0.3">
      <c r="A725" t="s">
        <v>1518</v>
      </c>
      <c r="B725" t="s">
        <v>1519</v>
      </c>
      <c r="C725" t="s">
        <v>93</v>
      </c>
      <c r="D725">
        <v>51</v>
      </c>
      <c r="E725" t="s">
        <v>59</v>
      </c>
      <c r="F725" t="s">
        <v>60</v>
      </c>
      <c r="G725" t="s">
        <v>69</v>
      </c>
      <c r="I725" t="str" cm="1">
        <f t="array" ref="I725">_xlfn.IFS(H725&lt;=5, "0-5", H725&lt;=10, "6-10", H725&lt;=15, "11-15", H725&lt;=20, "16-20", H725&gt;20, "21+")</f>
        <v>0-5</v>
      </c>
      <c r="J725">
        <v>30</v>
      </c>
      <c r="K725">
        <v>3.6</v>
      </c>
      <c r="L725" t="s">
        <v>2086</v>
      </c>
      <c r="M725" s="1">
        <v>0.77</v>
      </c>
    </row>
    <row r="726" spans="1:13" x14ac:dyDescent="0.3">
      <c r="A726" t="s">
        <v>1520</v>
      </c>
      <c r="B726" t="s">
        <v>1521</v>
      </c>
      <c r="C726" t="s">
        <v>73</v>
      </c>
      <c r="D726">
        <v>37</v>
      </c>
      <c r="E726" t="s">
        <v>123</v>
      </c>
      <c r="F726" t="s">
        <v>21</v>
      </c>
      <c r="G726" t="s">
        <v>74</v>
      </c>
      <c r="H726">
        <v>17</v>
      </c>
      <c r="I726" t="str" cm="1">
        <f t="array" ref="I726">_xlfn.IFS(H726&lt;=5, "0-5", H726&lt;=10, "6-10", H726&lt;=15, "11-15", H726&lt;=20, "16-20", H726&gt;20, "21+")</f>
        <v>16-20</v>
      </c>
      <c r="J726">
        <v>50</v>
      </c>
      <c r="L726" t="s">
        <v>2086</v>
      </c>
      <c r="M726" s="1">
        <v>0.84</v>
      </c>
    </row>
    <row r="727" spans="1:13" x14ac:dyDescent="0.3">
      <c r="A727" t="s">
        <v>1522</v>
      </c>
      <c r="B727" t="s">
        <v>1523</v>
      </c>
      <c r="C727" t="s">
        <v>93</v>
      </c>
      <c r="D727">
        <v>40</v>
      </c>
      <c r="E727" t="s">
        <v>184</v>
      </c>
      <c r="F727" t="s">
        <v>68</v>
      </c>
      <c r="G727" t="s">
        <v>34</v>
      </c>
      <c r="H727">
        <v>0</v>
      </c>
      <c r="I727" t="str" cm="1">
        <f t="array" ref="I727">_xlfn.IFS(H727&lt;=5, "0-5", H727&lt;=10, "6-10", H727&lt;=15, "11-15", H727&lt;=20, "16-20", H727&gt;20, "21+")</f>
        <v>0-5</v>
      </c>
      <c r="J727">
        <v>40</v>
      </c>
      <c r="K727">
        <v>4.5</v>
      </c>
      <c r="M727" s="1">
        <v>0.79</v>
      </c>
    </row>
    <row r="728" spans="1:13" x14ac:dyDescent="0.3">
      <c r="A728" t="s">
        <v>1524</v>
      </c>
      <c r="B728" t="s">
        <v>1525</v>
      </c>
      <c r="C728" t="s">
        <v>93</v>
      </c>
      <c r="D728">
        <v>60</v>
      </c>
      <c r="E728" t="s">
        <v>81</v>
      </c>
      <c r="F728" t="s">
        <v>82</v>
      </c>
      <c r="G728" t="s">
        <v>48</v>
      </c>
      <c r="H728">
        <v>6</v>
      </c>
      <c r="I728" t="str" cm="1">
        <f t="array" ref="I728">_xlfn.IFS(H728&lt;=5, "0-5", H728&lt;=10, "6-10", H728&lt;=15, "11-15", H728&lt;=20, "16-20", H728&gt;20, "21+")</f>
        <v>6-10</v>
      </c>
      <c r="J728">
        <v>40</v>
      </c>
      <c r="K728">
        <v>3.1</v>
      </c>
      <c r="L728" t="s">
        <v>2085</v>
      </c>
      <c r="M728" s="1">
        <v>0.69</v>
      </c>
    </row>
    <row r="729" spans="1:13" x14ac:dyDescent="0.3">
      <c r="A729" t="s">
        <v>1526</v>
      </c>
      <c r="B729" t="s">
        <v>1527</v>
      </c>
      <c r="C729" t="s">
        <v>93</v>
      </c>
      <c r="D729">
        <v>60</v>
      </c>
      <c r="E729" t="s">
        <v>130</v>
      </c>
      <c r="F729" t="s">
        <v>131</v>
      </c>
      <c r="G729" t="s">
        <v>69</v>
      </c>
      <c r="H729">
        <v>3</v>
      </c>
      <c r="I729" t="str" cm="1">
        <f t="array" ref="I729">_xlfn.IFS(H729&lt;=5, "0-5", H729&lt;=10, "6-10", H729&lt;=15, "11-15", H729&lt;=20, "16-20", H729&gt;20, "21+")</f>
        <v>0-5</v>
      </c>
      <c r="J729">
        <v>40</v>
      </c>
      <c r="K729">
        <v>4.9000000000000004</v>
      </c>
      <c r="L729" t="s">
        <v>2086</v>
      </c>
      <c r="M729" s="1">
        <v>0.68</v>
      </c>
    </row>
    <row r="730" spans="1:13" x14ac:dyDescent="0.3">
      <c r="A730" t="s">
        <v>1528</v>
      </c>
      <c r="B730" t="s">
        <v>1529</v>
      </c>
      <c r="C730" t="s">
        <v>73</v>
      </c>
      <c r="D730">
        <v>53</v>
      </c>
      <c r="E730" t="s">
        <v>108</v>
      </c>
      <c r="F730" t="s">
        <v>109</v>
      </c>
      <c r="G730" t="s">
        <v>69</v>
      </c>
      <c r="H730">
        <v>3</v>
      </c>
      <c r="I730" t="str" cm="1">
        <f t="array" ref="I730">_xlfn.IFS(H730&lt;=5, "0-5", H730&lt;=10, "6-10", H730&lt;=15, "11-15", H730&lt;=20, "16-20", H730&gt;20, "21+")</f>
        <v>0-5</v>
      </c>
      <c r="J730">
        <v>30</v>
      </c>
      <c r="K730">
        <v>4.2</v>
      </c>
      <c r="L730" t="s">
        <v>2086</v>
      </c>
      <c r="M730" s="1">
        <v>0.73</v>
      </c>
    </row>
    <row r="731" spans="1:13" x14ac:dyDescent="0.3">
      <c r="A731" t="s">
        <v>1530</v>
      </c>
      <c r="B731" t="s">
        <v>1531</v>
      </c>
      <c r="C731" t="s">
        <v>73</v>
      </c>
      <c r="D731">
        <v>20</v>
      </c>
      <c r="E731" t="s">
        <v>173</v>
      </c>
      <c r="F731" t="s">
        <v>68</v>
      </c>
      <c r="G731" t="s">
        <v>16</v>
      </c>
      <c r="H731">
        <v>31</v>
      </c>
      <c r="I731" t="str" cm="1">
        <f t="array" ref="I731">_xlfn.IFS(H731&lt;=5, "0-5", H731&lt;=10, "6-10", H731&lt;=15, "11-15", H731&lt;=20, "16-20", H731&gt;20, "21+")</f>
        <v>21+</v>
      </c>
      <c r="J731">
        <v>75</v>
      </c>
      <c r="K731">
        <v>3.2</v>
      </c>
      <c r="L731" t="s">
        <v>2086</v>
      </c>
      <c r="M731" s="1">
        <v>0.74</v>
      </c>
    </row>
    <row r="732" spans="1:13" x14ac:dyDescent="0.3">
      <c r="A732" t="s">
        <v>1532</v>
      </c>
      <c r="B732" t="s">
        <v>1533</v>
      </c>
      <c r="C732" t="s">
        <v>93</v>
      </c>
      <c r="D732">
        <v>42</v>
      </c>
      <c r="E732" t="s">
        <v>119</v>
      </c>
      <c r="F732" t="s">
        <v>120</v>
      </c>
      <c r="G732" t="s">
        <v>34</v>
      </c>
      <c r="H732">
        <v>5</v>
      </c>
      <c r="I732" t="str" cm="1">
        <f t="array" ref="I732">_xlfn.IFS(H732&lt;=5, "0-5", H732&lt;=10, "6-10", H732&lt;=15, "11-15", H732&lt;=20, "16-20", H732&gt;20, "21+")</f>
        <v>0-5</v>
      </c>
      <c r="J732">
        <v>20</v>
      </c>
      <c r="L732" t="s">
        <v>2085</v>
      </c>
      <c r="M732" s="1">
        <v>1</v>
      </c>
    </row>
    <row r="733" spans="1:13" x14ac:dyDescent="0.3">
      <c r="A733" t="s">
        <v>1534</v>
      </c>
      <c r="B733" t="s">
        <v>1535</v>
      </c>
      <c r="C733" t="s">
        <v>93</v>
      </c>
      <c r="D733">
        <v>21</v>
      </c>
      <c r="E733" t="s">
        <v>63</v>
      </c>
      <c r="F733" t="s">
        <v>21</v>
      </c>
      <c r="G733" t="s">
        <v>22</v>
      </c>
      <c r="H733">
        <v>37</v>
      </c>
      <c r="I733" t="str" cm="1">
        <f t="array" ref="I733">_xlfn.IFS(H733&lt;=5, "0-5", H733&lt;=10, "6-10", H733&lt;=15, "11-15", H733&lt;=20, "16-20", H733&gt;20, "21+")</f>
        <v>21+</v>
      </c>
      <c r="J733">
        <v>40</v>
      </c>
      <c r="K733">
        <v>0</v>
      </c>
      <c r="L733" t="s">
        <v>2085</v>
      </c>
      <c r="M733" s="1">
        <v>0.87</v>
      </c>
    </row>
    <row r="734" spans="1:13" x14ac:dyDescent="0.3">
      <c r="A734" t="s">
        <v>1536</v>
      </c>
      <c r="B734" t="s">
        <v>1537</v>
      </c>
      <c r="C734" t="s">
        <v>93</v>
      </c>
      <c r="D734">
        <v>39</v>
      </c>
      <c r="E734" t="s">
        <v>27</v>
      </c>
      <c r="F734" t="s">
        <v>28</v>
      </c>
      <c r="G734" t="s">
        <v>34</v>
      </c>
      <c r="H734">
        <v>10</v>
      </c>
      <c r="I734" t="str" cm="1">
        <f t="array" ref="I734">_xlfn.IFS(H734&lt;=5, "0-5", H734&lt;=10, "6-10", H734&lt;=15, "11-15", H734&lt;=20, "16-20", H734&gt;20, "21+")</f>
        <v>6-10</v>
      </c>
      <c r="J734">
        <v>100</v>
      </c>
      <c r="K734">
        <v>2.2000000000000002</v>
      </c>
      <c r="L734" t="s">
        <v>2085</v>
      </c>
      <c r="M734" s="1">
        <v>0.79</v>
      </c>
    </row>
    <row r="735" spans="1:13" x14ac:dyDescent="0.3">
      <c r="A735" t="s">
        <v>1538</v>
      </c>
      <c r="B735" t="s">
        <v>1539</v>
      </c>
      <c r="C735" t="s">
        <v>93</v>
      </c>
      <c r="D735">
        <v>32</v>
      </c>
      <c r="E735" t="s">
        <v>89</v>
      </c>
      <c r="F735" t="s">
        <v>90</v>
      </c>
      <c r="G735" t="s">
        <v>16</v>
      </c>
      <c r="H735">
        <v>28</v>
      </c>
      <c r="I735" t="str" cm="1">
        <f t="array" ref="I735">_xlfn.IFS(H735&lt;=5, "0-5", H735&lt;=10, "6-10", H735&lt;=15, "11-15", H735&lt;=20, "16-20", H735&gt;20, "21+")</f>
        <v>21+</v>
      </c>
      <c r="J735">
        <v>30</v>
      </c>
      <c r="K735">
        <v>1.5</v>
      </c>
      <c r="L735" t="s">
        <v>2085</v>
      </c>
      <c r="M735" s="1">
        <v>0.68</v>
      </c>
    </row>
    <row r="736" spans="1:13" x14ac:dyDescent="0.3">
      <c r="A736" t="s">
        <v>1540</v>
      </c>
      <c r="B736" t="s">
        <v>1541</v>
      </c>
      <c r="C736" t="s">
        <v>93</v>
      </c>
      <c r="D736">
        <v>35</v>
      </c>
      <c r="E736" t="s">
        <v>27</v>
      </c>
      <c r="F736" t="s">
        <v>28</v>
      </c>
      <c r="G736" t="s">
        <v>48</v>
      </c>
      <c r="H736">
        <v>0</v>
      </c>
      <c r="I736" t="str" cm="1">
        <f t="array" ref="I736">_xlfn.IFS(H736&lt;=5, "0-5", H736&lt;=10, "6-10", H736&lt;=15, "11-15", H736&lt;=20, "16-20", H736&gt;20, "21+")</f>
        <v>0-5</v>
      </c>
      <c r="J736">
        <v>100</v>
      </c>
      <c r="L736" t="s">
        <v>2085</v>
      </c>
      <c r="M736" s="1">
        <v>0.84</v>
      </c>
    </row>
    <row r="737" spans="1:13" x14ac:dyDescent="0.3">
      <c r="A737" t="s">
        <v>1542</v>
      </c>
      <c r="B737" t="s">
        <v>1543</v>
      </c>
      <c r="C737" t="s">
        <v>73</v>
      </c>
      <c r="D737">
        <v>35</v>
      </c>
      <c r="E737" t="s">
        <v>130</v>
      </c>
      <c r="F737" t="s">
        <v>131</v>
      </c>
      <c r="G737" t="s">
        <v>69</v>
      </c>
      <c r="H737">
        <v>19</v>
      </c>
      <c r="I737" t="str" cm="1">
        <f t="array" ref="I737">_xlfn.IFS(H737&lt;=5, "0-5", H737&lt;=10, "6-10", H737&lt;=15, "11-15", H737&lt;=20, "16-20", H737&gt;20, "21+")</f>
        <v>16-20</v>
      </c>
      <c r="J737">
        <v>50</v>
      </c>
      <c r="K737">
        <v>3.1</v>
      </c>
      <c r="L737" t="s">
        <v>2085</v>
      </c>
      <c r="M737" s="1">
        <v>0.71</v>
      </c>
    </row>
    <row r="738" spans="1:13" x14ac:dyDescent="0.3">
      <c r="A738" t="s">
        <v>1544</v>
      </c>
      <c r="B738" t="s">
        <v>1545</v>
      </c>
      <c r="C738" t="s">
        <v>73</v>
      </c>
      <c r="D738">
        <v>23</v>
      </c>
      <c r="E738" t="s">
        <v>67</v>
      </c>
      <c r="F738" t="s">
        <v>68</v>
      </c>
      <c r="G738" t="s">
        <v>69</v>
      </c>
      <c r="H738">
        <v>9</v>
      </c>
      <c r="I738" t="str" cm="1">
        <f t="array" ref="I738">_xlfn.IFS(H738&lt;=5, "0-5", H738&lt;=10, "6-10", H738&lt;=15, "11-15", H738&lt;=20, "16-20", H738&gt;20, "21+")</f>
        <v>6-10</v>
      </c>
      <c r="J738">
        <v>75</v>
      </c>
      <c r="K738">
        <v>0</v>
      </c>
      <c r="L738" t="s">
        <v>2085</v>
      </c>
      <c r="M738" s="1">
        <v>0.92</v>
      </c>
    </row>
    <row r="739" spans="1:13" x14ac:dyDescent="0.3">
      <c r="A739" t="s">
        <v>1546</v>
      </c>
      <c r="B739" t="s">
        <v>1547</v>
      </c>
      <c r="C739" t="s">
        <v>93</v>
      </c>
      <c r="D739">
        <v>26</v>
      </c>
      <c r="E739" t="s">
        <v>40</v>
      </c>
      <c r="F739" t="s">
        <v>41</v>
      </c>
      <c r="G739" t="s">
        <v>42</v>
      </c>
      <c r="H739">
        <v>5</v>
      </c>
      <c r="I739" t="str" cm="1">
        <f t="array" ref="I739">_xlfn.IFS(H739&lt;=5, "0-5", H739&lt;=10, "6-10", H739&lt;=15, "11-15", H739&lt;=20, "16-20", H739&gt;20, "21+")</f>
        <v>0-5</v>
      </c>
      <c r="J739">
        <v>100</v>
      </c>
      <c r="L739" t="s">
        <v>2085</v>
      </c>
      <c r="M739" s="1">
        <v>0.69</v>
      </c>
    </row>
    <row r="740" spans="1:13" x14ac:dyDescent="0.3">
      <c r="A740" t="s">
        <v>1548</v>
      </c>
      <c r="B740" t="s">
        <v>1549</v>
      </c>
      <c r="C740" t="s">
        <v>73</v>
      </c>
      <c r="D740">
        <v>34</v>
      </c>
      <c r="E740" t="s">
        <v>123</v>
      </c>
      <c r="F740" t="s">
        <v>21</v>
      </c>
      <c r="G740" t="s">
        <v>110</v>
      </c>
      <c r="H740">
        <v>0</v>
      </c>
      <c r="I740" t="str" cm="1">
        <f t="array" ref="I740">_xlfn.IFS(H740&lt;=5, "0-5", H740&lt;=10, "6-10", H740&lt;=15, "11-15", H740&lt;=20, "16-20", H740&gt;20, "21+")</f>
        <v>0-5</v>
      </c>
      <c r="K740">
        <v>0</v>
      </c>
      <c r="L740" t="s">
        <v>2086</v>
      </c>
      <c r="M740" s="1">
        <v>0.71</v>
      </c>
    </row>
    <row r="741" spans="1:13" x14ac:dyDescent="0.3">
      <c r="A741" t="s">
        <v>1550</v>
      </c>
      <c r="B741" t="s">
        <v>1551</v>
      </c>
      <c r="C741" t="s">
        <v>73</v>
      </c>
      <c r="D741">
        <v>34</v>
      </c>
      <c r="E741" t="s">
        <v>27</v>
      </c>
      <c r="F741" t="s">
        <v>28</v>
      </c>
      <c r="G741" t="s">
        <v>16</v>
      </c>
      <c r="H741">
        <v>21</v>
      </c>
      <c r="I741" t="str" cm="1">
        <f t="array" ref="I741">_xlfn.IFS(H741&lt;=5, "0-5", H741&lt;=10, "6-10", H741&lt;=15, "11-15", H741&lt;=20, "16-20", H741&gt;20, "21+")</f>
        <v>21+</v>
      </c>
      <c r="L741" t="s">
        <v>2085</v>
      </c>
      <c r="M741" s="1">
        <v>0.77</v>
      </c>
    </row>
    <row r="742" spans="1:13" x14ac:dyDescent="0.3">
      <c r="A742" t="s">
        <v>1552</v>
      </c>
      <c r="B742" t="s">
        <v>1553</v>
      </c>
      <c r="C742" t="s">
        <v>93</v>
      </c>
      <c r="D742">
        <v>57</v>
      </c>
      <c r="E742" t="s">
        <v>14</v>
      </c>
      <c r="F742" t="s">
        <v>15</v>
      </c>
      <c r="G742" t="s">
        <v>34</v>
      </c>
      <c r="H742">
        <v>0</v>
      </c>
      <c r="I742" t="str" cm="1">
        <f t="array" ref="I742">_xlfn.IFS(H742&lt;=5, "0-5", H742&lt;=10, "6-10", H742&lt;=15, "11-15", H742&lt;=20, "16-20", H742&gt;20, "21+")</f>
        <v>0-5</v>
      </c>
      <c r="J742">
        <v>50</v>
      </c>
      <c r="K742">
        <v>3</v>
      </c>
      <c r="L742" t="s">
        <v>2086</v>
      </c>
      <c r="M742" s="1">
        <v>0.87</v>
      </c>
    </row>
    <row r="743" spans="1:13" x14ac:dyDescent="0.3">
      <c r="A743" t="s">
        <v>1554</v>
      </c>
      <c r="B743" t="s">
        <v>2108</v>
      </c>
      <c r="C743" t="s">
        <v>93</v>
      </c>
      <c r="D743">
        <v>46</v>
      </c>
      <c r="E743" t="s">
        <v>123</v>
      </c>
      <c r="F743" t="s">
        <v>21</v>
      </c>
      <c r="G743" t="s">
        <v>34</v>
      </c>
      <c r="H743">
        <v>0</v>
      </c>
      <c r="I743" t="str" cm="1">
        <f t="array" ref="I743">_xlfn.IFS(H743&lt;=5, "0-5", H743&lt;=10, "6-10", H743&lt;=15, "11-15", H743&lt;=20, "16-20", H743&gt;20, "21+")</f>
        <v>0-5</v>
      </c>
      <c r="J743">
        <v>30</v>
      </c>
      <c r="K743">
        <v>2.6</v>
      </c>
      <c r="L743" t="s">
        <v>2085</v>
      </c>
      <c r="M743" s="1">
        <v>0.76</v>
      </c>
    </row>
    <row r="744" spans="1:13" x14ac:dyDescent="0.3">
      <c r="A744" t="s">
        <v>1556</v>
      </c>
      <c r="B744" t="s">
        <v>1557</v>
      </c>
      <c r="C744" t="s">
        <v>93</v>
      </c>
      <c r="D744">
        <v>55</v>
      </c>
      <c r="E744" t="s">
        <v>89</v>
      </c>
      <c r="F744" t="s">
        <v>90</v>
      </c>
      <c r="G744" t="s">
        <v>42</v>
      </c>
      <c r="H744">
        <v>17</v>
      </c>
      <c r="I744" t="str" cm="1">
        <f t="array" ref="I744">_xlfn.IFS(H744&lt;=5, "0-5", H744&lt;=10, "6-10", H744&lt;=15, "11-15", H744&lt;=20, "16-20", H744&gt;20, "21+")</f>
        <v>16-20</v>
      </c>
      <c r="J744">
        <v>75</v>
      </c>
      <c r="K744">
        <v>4.0999999999999996</v>
      </c>
      <c r="L744" t="s">
        <v>2085</v>
      </c>
    </row>
    <row r="745" spans="1:13" x14ac:dyDescent="0.3">
      <c r="A745" t="s">
        <v>1558</v>
      </c>
      <c r="B745" t="s">
        <v>1559</v>
      </c>
      <c r="C745" t="s">
        <v>73</v>
      </c>
      <c r="D745">
        <v>32</v>
      </c>
      <c r="E745" t="s">
        <v>20</v>
      </c>
      <c r="F745" t="s">
        <v>21</v>
      </c>
      <c r="G745" t="s">
        <v>85</v>
      </c>
      <c r="H745">
        <v>21</v>
      </c>
      <c r="I745" t="str" cm="1">
        <f t="array" ref="I745">_xlfn.IFS(H745&lt;=5, "0-5", H745&lt;=10, "6-10", H745&lt;=15, "11-15", H745&lt;=20, "16-20", H745&gt;20, "21+")</f>
        <v>21+</v>
      </c>
      <c r="J745">
        <v>50</v>
      </c>
      <c r="K745">
        <v>1.5</v>
      </c>
      <c r="L745" t="s">
        <v>2085</v>
      </c>
      <c r="M745" s="1">
        <v>0.65</v>
      </c>
    </row>
    <row r="746" spans="1:13" x14ac:dyDescent="0.3">
      <c r="A746" t="s">
        <v>1560</v>
      </c>
      <c r="B746" t="s">
        <v>1561</v>
      </c>
      <c r="C746" t="s">
        <v>93</v>
      </c>
      <c r="D746">
        <v>53</v>
      </c>
      <c r="E746" t="s">
        <v>46</v>
      </c>
      <c r="F746" t="s">
        <v>47</v>
      </c>
      <c r="G746" t="s">
        <v>42</v>
      </c>
      <c r="H746">
        <v>7</v>
      </c>
      <c r="I746" t="str" cm="1">
        <f t="array" ref="I746">_xlfn.IFS(H746&lt;=5, "0-5", H746&lt;=10, "6-10", H746&lt;=15, "11-15", H746&lt;=20, "16-20", H746&gt;20, "21+")</f>
        <v>6-10</v>
      </c>
      <c r="J746">
        <v>50</v>
      </c>
      <c r="K746">
        <v>2.9</v>
      </c>
      <c r="L746" t="s">
        <v>2086</v>
      </c>
      <c r="M746" s="1">
        <v>0.82</v>
      </c>
    </row>
    <row r="747" spans="1:13" x14ac:dyDescent="0.3">
      <c r="A747" t="s">
        <v>1562</v>
      </c>
      <c r="B747" t="s">
        <v>1563</v>
      </c>
      <c r="C747" t="s">
        <v>93</v>
      </c>
      <c r="D747">
        <v>59</v>
      </c>
      <c r="E747" t="s">
        <v>173</v>
      </c>
      <c r="F747" t="s">
        <v>68</v>
      </c>
      <c r="G747" t="s">
        <v>42</v>
      </c>
      <c r="H747">
        <v>22</v>
      </c>
      <c r="I747" t="str" cm="1">
        <f t="array" ref="I747">_xlfn.IFS(H747&lt;=5, "0-5", H747&lt;=10, "6-10", H747&lt;=15, "11-15", H747&lt;=20, "16-20", H747&gt;20, "21+")</f>
        <v>21+</v>
      </c>
      <c r="J747">
        <v>100</v>
      </c>
      <c r="K747">
        <v>0</v>
      </c>
      <c r="L747" t="s">
        <v>2086</v>
      </c>
      <c r="M747" s="1">
        <v>0.87</v>
      </c>
    </row>
    <row r="748" spans="1:13" x14ac:dyDescent="0.3">
      <c r="A748" t="s">
        <v>1564</v>
      </c>
      <c r="B748" t="s">
        <v>1565</v>
      </c>
      <c r="C748" t="s">
        <v>73</v>
      </c>
      <c r="D748">
        <v>44</v>
      </c>
      <c r="E748" t="s">
        <v>40</v>
      </c>
      <c r="F748" t="s">
        <v>41</v>
      </c>
      <c r="G748" t="s">
        <v>110</v>
      </c>
      <c r="I748" t="str" cm="1">
        <f t="array" ref="I748">_xlfn.IFS(H748&lt;=5, "0-5", H748&lt;=10, "6-10", H748&lt;=15, "11-15", H748&lt;=20, "16-20", H748&gt;20, "21+")</f>
        <v>0-5</v>
      </c>
      <c r="J748">
        <v>40</v>
      </c>
      <c r="K748">
        <v>4.9000000000000004</v>
      </c>
      <c r="L748" t="s">
        <v>2085</v>
      </c>
      <c r="M748" s="1">
        <v>1</v>
      </c>
    </row>
    <row r="749" spans="1:13" x14ac:dyDescent="0.3">
      <c r="A749" t="s">
        <v>1566</v>
      </c>
      <c r="B749" t="s">
        <v>1567</v>
      </c>
      <c r="C749" t="s">
        <v>93</v>
      </c>
      <c r="D749">
        <v>35</v>
      </c>
      <c r="E749" t="s">
        <v>134</v>
      </c>
      <c r="F749" t="s">
        <v>135</v>
      </c>
      <c r="G749" t="s">
        <v>16</v>
      </c>
      <c r="H749">
        <v>1</v>
      </c>
      <c r="I749" t="str" cm="1">
        <f t="array" ref="I749">_xlfn.IFS(H749&lt;=5, "0-5", H749&lt;=10, "6-10", H749&lt;=15, "11-15", H749&lt;=20, "16-20", H749&gt;20, "21+")</f>
        <v>0-5</v>
      </c>
      <c r="J749">
        <v>50</v>
      </c>
      <c r="K749">
        <v>3</v>
      </c>
      <c r="L749" t="s">
        <v>2085</v>
      </c>
      <c r="M749" s="1">
        <v>0.71</v>
      </c>
    </row>
    <row r="750" spans="1:13" x14ac:dyDescent="0.3">
      <c r="A750" t="s">
        <v>1568</v>
      </c>
      <c r="B750" t="s">
        <v>1569</v>
      </c>
      <c r="C750" t="s">
        <v>73</v>
      </c>
      <c r="D750">
        <v>42</v>
      </c>
      <c r="E750" t="s">
        <v>169</v>
      </c>
      <c r="F750" t="s">
        <v>170</v>
      </c>
      <c r="G750" t="s">
        <v>110</v>
      </c>
      <c r="H750">
        <v>5</v>
      </c>
      <c r="I750" t="str" cm="1">
        <f t="array" ref="I750">_xlfn.IFS(H750&lt;=5, "0-5", H750&lt;=10, "6-10", H750&lt;=15, "11-15", H750&lt;=20, "16-20", H750&gt;20, "21+")</f>
        <v>0-5</v>
      </c>
      <c r="J750">
        <v>30</v>
      </c>
      <c r="K750">
        <v>4.9000000000000004</v>
      </c>
      <c r="L750" t="s">
        <v>2086</v>
      </c>
      <c r="M750" s="1">
        <v>0.87</v>
      </c>
    </row>
    <row r="751" spans="1:13" x14ac:dyDescent="0.3">
      <c r="A751" t="s">
        <v>1570</v>
      </c>
      <c r="B751" t="s">
        <v>1571</v>
      </c>
      <c r="C751" t="s">
        <v>73</v>
      </c>
      <c r="D751">
        <v>58</v>
      </c>
      <c r="E751" t="s">
        <v>108</v>
      </c>
      <c r="F751" t="s">
        <v>109</v>
      </c>
      <c r="G751" t="s">
        <v>16</v>
      </c>
      <c r="H751">
        <v>40</v>
      </c>
      <c r="I751" t="str" cm="1">
        <f t="array" ref="I751">_xlfn.IFS(H751&lt;=5, "0-5", H751&lt;=10, "6-10", H751&lt;=15, "11-15", H751&lt;=20, "16-20", H751&gt;20, "21+")</f>
        <v>21+</v>
      </c>
      <c r="J751">
        <v>30</v>
      </c>
      <c r="K751">
        <v>4.5999999999999996</v>
      </c>
      <c r="L751" t="s">
        <v>2085</v>
      </c>
      <c r="M751" s="1">
        <v>0.7</v>
      </c>
    </row>
    <row r="752" spans="1:13" x14ac:dyDescent="0.3">
      <c r="A752" t="s">
        <v>1572</v>
      </c>
      <c r="B752" t="s">
        <v>1573</v>
      </c>
      <c r="C752" t="s">
        <v>93</v>
      </c>
      <c r="D752">
        <v>41</v>
      </c>
      <c r="E752" t="s">
        <v>40</v>
      </c>
      <c r="F752" t="s">
        <v>41</v>
      </c>
      <c r="G752" t="s">
        <v>42</v>
      </c>
      <c r="H752">
        <v>19</v>
      </c>
      <c r="I752" t="str" cm="1">
        <f t="array" ref="I752">_xlfn.IFS(H752&lt;=5, "0-5", H752&lt;=10, "6-10", H752&lt;=15, "11-15", H752&lt;=20, "16-20", H752&gt;20, "21+")</f>
        <v>16-20</v>
      </c>
      <c r="J752">
        <v>100</v>
      </c>
      <c r="K752">
        <v>2.2000000000000002</v>
      </c>
      <c r="L752" t="s">
        <v>2086</v>
      </c>
      <c r="M752" s="1">
        <v>0.83</v>
      </c>
    </row>
    <row r="753" spans="1:13" x14ac:dyDescent="0.3">
      <c r="A753" t="s">
        <v>1574</v>
      </c>
      <c r="B753" t="s">
        <v>1575</v>
      </c>
      <c r="C753" t="s">
        <v>73</v>
      </c>
      <c r="E753" t="s">
        <v>67</v>
      </c>
      <c r="F753" t="s">
        <v>68</v>
      </c>
      <c r="G753" t="s">
        <v>34</v>
      </c>
      <c r="H753">
        <v>12</v>
      </c>
      <c r="I753" t="str" cm="1">
        <f t="array" ref="I753">_xlfn.IFS(H753&lt;=5, "0-5", H753&lt;=10, "6-10", H753&lt;=15, "11-15", H753&lt;=20, "16-20", H753&gt;20, "21+")</f>
        <v>11-15</v>
      </c>
      <c r="J753">
        <v>40</v>
      </c>
      <c r="L753" t="s">
        <v>2086</v>
      </c>
      <c r="M753" s="1">
        <v>0.74</v>
      </c>
    </row>
    <row r="754" spans="1:13" x14ac:dyDescent="0.3">
      <c r="A754" t="s">
        <v>1576</v>
      </c>
      <c r="B754" t="s">
        <v>1577</v>
      </c>
      <c r="C754" t="s">
        <v>73</v>
      </c>
      <c r="D754">
        <v>23</v>
      </c>
      <c r="E754" t="s">
        <v>123</v>
      </c>
      <c r="F754" t="s">
        <v>21</v>
      </c>
      <c r="G754" t="s">
        <v>16</v>
      </c>
      <c r="H754">
        <v>7</v>
      </c>
      <c r="I754" t="str" cm="1">
        <f t="array" ref="I754">_xlfn.IFS(H754&lt;=5, "0-5", H754&lt;=10, "6-10", H754&lt;=15, "11-15", H754&lt;=20, "16-20", H754&gt;20, "21+")</f>
        <v>6-10</v>
      </c>
      <c r="J754">
        <v>30</v>
      </c>
      <c r="K754">
        <v>1.1000000000000001</v>
      </c>
      <c r="L754" t="s">
        <v>2086</v>
      </c>
      <c r="M754" s="1">
        <v>0.86</v>
      </c>
    </row>
    <row r="755" spans="1:13" x14ac:dyDescent="0.3">
      <c r="A755" t="s">
        <v>1578</v>
      </c>
      <c r="B755" t="s">
        <v>1579</v>
      </c>
      <c r="C755" t="s">
        <v>93</v>
      </c>
      <c r="D755">
        <v>51</v>
      </c>
      <c r="E755" t="s">
        <v>169</v>
      </c>
      <c r="F755" t="s">
        <v>170</v>
      </c>
      <c r="G755" t="s">
        <v>16</v>
      </c>
      <c r="H755">
        <v>4</v>
      </c>
      <c r="I755" t="str" cm="1">
        <f t="array" ref="I755">_xlfn.IFS(H755&lt;=5, "0-5", H755&lt;=10, "6-10", H755&lt;=15, "11-15", H755&lt;=20, "16-20", H755&gt;20, "21+")</f>
        <v>0-5</v>
      </c>
      <c r="J755">
        <v>40</v>
      </c>
      <c r="K755">
        <v>4.5</v>
      </c>
      <c r="L755" t="s">
        <v>2086</v>
      </c>
      <c r="M755" s="1">
        <v>0.72</v>
      </c>
    </row>
    <row r="756" spans="1:13" x14ac:dyDescent="0.3">
      <c r="A756" t="s">
        <v>1580</v>
      </c>
      <c r="B756" t="s">
        <v>1581</v>
      </c>
      <c r="C756" t="s">
        <v>73</v>
      </c>
      <c r="D756">
        <v>42</v>
      </c>
      <c r="E756" t="s">
        <v>130</v>
      </c>
      <c r="F756" t="s">
        <v>131</v>
      </c>
      <c r="G756" t="s">
        <v>42</v>
      </c>
      <c r="H756">
        <v>24</v>
      </c>
      <c r="I756" t="str" cm="1">
        <f t="array" ref="I756">_xlfn.IFS(H756&lt;=5, "0-5", H756&lt;=10, "6-10", H756&lt;=15, "11-15", H756&lt;=20, "16-20", H756&gt;20, "21+")</f>
        <v>21+</v>
      </c>
      <c r="K756">
        <v>2.5</v>
      </c>
      <c r="L756" t="s">
        <v>2086</v>
      </c>
      <c r="M756" s="1">
        <v>0.73</v>
      </c>
    </row>
    <row r="757" spans="1:13" x14ac:dyDescent="0.3">
      <c r="A757" t="s">
        <v>1582</v>
      </c>
      <c r="B757" t="s">
        <v>1583</v>
      </c>
      <c r="C757" t="s">
        <v>93</v>
      </c>
      <c r="D757">
        <v>26</v>
      </c>
      <c r="E757" t="s">
        <v>81</v>
      </c>
      <c r="F757" t="s">
        <v>82</v>
      </c>
      <c r="G757" t="s">
        <v>48</v>
      </c>
      <c r="H757">
        <v>1</v>
      </c>
      <c r="I757" t="str" cm="1">
        <f t="array" ref="I757">_xlfn.IFS(H757&lt;=5, "0-5", H757&lt;=10, "6-10", H757&lt;=15, "11-15", H757&lt;=20, "16-20", H757&gt;20, "21+")</f>
        <v>0-5</v>
      </c>
      <c r="J757">
        <v>75</v>
      </c>
      <c r="K757">
        <v>2.9</v>
      </c>
      <c r="L757" t="s">
        <v>2085</v>
      </c>
      <c r="M757" s="1">
        <v>0.78</v>
      </c>
    </row>
    <row r="758" spans="1:13" x14ac:dyDescent="0.3">
      <c r="A758" t="s">
        <v>1584</v>
      </c>
      <c r="B758" t="s">
        <v>1585</v>
      </c>
      <c r="C758" t="s">
        <v>73</v>
      </c>
      <c r="D758">
        <v>49</v>
      </c>
      <c r="E758" t="s">
        <v>46</v>
      </c>
      <c r="F758" t="s">
        <v>47</v>
      </c>
      <c r="G758" t="s">
        <v>42</v>
      </c>
      <c r="H758">
        <v>28</v>
      </c>
      <c r="I758" t="str" cm="1">
        <f t="array" ref="I758">_xlfn.IFS(H758&lt;=5, "0-5", H758&lt;=10, "6-10", H758&lt;=15, "11-15", H758&lt;=20, "16-20", H758&gt;20, "21+")</f>
        <v>21+</v>
      </c>
      <c r="J758">
        <v>75</v>
      </c>
      <c r="K758">
        <v>0</v>
      </c>
      <c r="L758" t="s">
        <v>2086</v>
      </c>
    </row>
    <row r="759" spans="1:13" x14ac:dyDescent="0.3">
      <c r="A759" t="s">
        <v>1586</v>
      </c>
      <c r="B759" t="s">
        <v>1587</v>
      </c>
      <c r="C759" t="s">
        <v>73</v>
      </c>
      <c r="D759">
        <v>37</v>
      </c>
      <c r="E759" t="s">
        <v>14</v>
      </c>
      <c r="F759" t="s">
        <v>15</v>
      </c>
      <c r="G759" t="s">
        <v>85</v>
      </c>
      <c r="H759">
        <v>19</v>
      </c>
      <c r="I759" t="str" cm="1">
        <f t="array" ref="I759">_xlfn.IFS(H759&lt;=5, "0-5", H759&lt;=10, "6-10", H759&lt;=15, "11-15", H759&lt;=20, "16-20", H759&gt;20, "21+")</f>
        <v>16-20</v>
      </c>
      <c r="J759">
        <v>75</v>
      </c>
      <c r="K759">
        <v>3.5</v>
      </c>
      <c r="L759" t="s">
        <v>2085</v>
      </c>
      <c r="M759" s="1">
        <v>0.75</v>
      </c>
    </row>
    <row r="760" spans="1:13" x14ac:dyDescent="0.3">
      <c r="A760" t="s">
        <v>1588</v>
      </c>
      <c r="B760" t="s">
        <v>1589</v>
      </c>
      <c r="C760" t="s">
        <v>93</v>
      </c>
      <c r="D760">
        <v>31</v>
      </c>
      <c r="E760" t="s">
        <v>20</v>
      </c>
      <c r="F760" t="s">
        <v>21</v>
      </c>
      <c r="G760" t="s">
        <v>42</v>
      </c>
      <c r="H760">
        <v>4</v>
      </c>
      <c r="I760" t="str" cm="1">
        <f t="array" ref="I760">_xlfn.IFS(H760&lt;=5, "0-5", H760&lt;=10, "6-10", H760&lt;=15, "11-15", H760&lt;=20, "16-20", H760&gt;20, "21+")</f>
        <v>0-5</v>
      </c>
      <c r="J760">
        <v>40</v>
      </c>
      <c r="K760">
        <v>4.5</v>
      </c>
      <c r="L760" t="s">
        <v>2085</v>
      </c>
      <c r="M760" s="1">
        <v>0.96</v>
      </c>
    </row>
    <row r="761" spans="1:13" x14ac:dyDescent="0.3">
      <c r="A761" t="s">
        <v>1590</v>
      </c>
      <c r="B761" t="s">
        <v>1591</v>
      </c>
      <c r="C761" t="s">
        <v>93</v>
      </c>
      <c r="D761">
        <v>51</v>
      </c>
      <c r="E761" t="s">
        <v>108</v>
      </c>
      <c r="F761" t="s">
        <v>109</v>
      </c>
      <c r="G761" t="s">
        <v>22</v>
      </c>
      <c r="H761">
        <v>20</v>
      </c>
      <c r="I761" t="str" cm="1">
        <f t="array" ref="I761">_xlfn.IFS(H761&lt;=5, "0-5", H761&lt;=10, "6-10", H761&lt;=15, "11-15", H761&lt;=20, "16-20", H761&gt;20, "21+")</f>
        <v>16-20</v>
      </c>
      <c r="J761">
        <v>40</v>
      </c>
      <c r="K761">
        <v>1.7</v>
      </c>
      <c r="L761" t="s">
        <v>2086</v>
      </c>
      <c r="M761" s="1">
        <v>0.61</v>
      </c>
    </row>
    <row r="762" spans="1:13" x14ac:dyDescent="0.3">
      <c r="A762" t="s">
        <v>1592</v>
      </c>
      <c r="B762" t="s">
        <v>1593</v>
      </c>
      <c r="C762" t="s">
        <v>93</v>
      </c>
      <c r="D762">
        <v>60</v>
      </c>
      <c r="E762" t="s">
        <v>169</v>
      </c>
      <c r="F762" t="s">
        <v>170</v>
      </c>
      <c r="G762" t="s">
        <v>85</v>
      </c>
      <c r="H762">
        <v>19</v>
      </c>
      <c r="I762" t="str" cm="1">
        <f t="array" ref="I762">_xlfn.IFS(H762&lt;=5, "0-5", H762&lt;=10, "6-10", H762&lt;=15, "11-15", H762&lt;=20, "16-20", H762&gt;20, "21+")</f>
        <v>16-20</v>
      </c>
      <c r="J762">
        <v>50</v>
      </c>
      <c r="K762">
        <v>4.5999999999999996</v>
      </c>
      <c r="L762" t="s">
        <v>2086</v>
      </c>
      <c r="M762" s="1">
        <v>1</v>
      </c>
    </row>
    <row r="763" spans="1:13" x14ac:dyDescent="0.3">
      <c r="A763" t="s">
        <v>1594</v>
      </c>
      <c r="B763" t="s">
        <v>1595</v>
      </c>
      <c r="C763" t="s">
        <v>93</v>
      </c>
      <c r="D763">
        <v>51</v>
      </c>
      <c r="E763" t="s">
        <v>123</v>
      </c>
      <c r="F763" t="s">
        <v>21</v>
      </c>
      <c r="G763" t="s">
        <v>16</v>
      </c>
      <c r="H763">
        <v>1</v>
      </c>
      <c r="I763" t="str" cm="1">
        <f t="array" ref="I763">_xlfn.IFS(H763&lt;=5, "0-5", H763&lt;=10, "6-10", H763&lt;=15, "11-15", H763&lt;=20, "16-20", H763&gt;20, "21+")</f>
        <v>0-5</v>
      </c>
      <c r="J763">
        <v>50</v>
      </c>
      <c r="L763" t="s">
        <v>2086</v>
      </c>
      <c r="M763" s="1">
        <v>0.82</v>
      </c>
    </row>
    <row r="764" spans="1:13" x14ac:dyDescent="0.3">
      <c r="A764" t="s">
        <v>1596</v>
      </c>
      <c r="B764" t="s">
        <v>1597</v>
      </c>
      <c r="C764" t="s">
        <v>93</v>
      </c>
      <c r="D764">
        <v>37</v>
      </c>
      <c r="E764" t="s">
        <v>27</v>
      </c>
      <c r="F764" t="s">
        <v>28</v>
      </c>
      <c r="G764" t="s">
        <v>29</v>
      </c>
      <c r="H764">
        <v>8</v>
      </c>
      <c r="I764" t="str" cm="1">
        <f t="array" ref="I764">_xlfn.IFS(H764&lt;=5, "0-5", H764&lt;=10, "6-10", H764&lt;=15, "11-15", H764&lt;=20, "16-20", H764&gt;20, "21+")</f>
        <v>6-10</v>
      </c>
      <c r="K764">
        <v>4.9000000000000004</v>
      </c>
      <c r="L764" t="s">
        <v>2086</v>
      </c>
      <c r="M764" s="1">
        <v>0.8</v>
      </c>
    </row>
    <row r="765" spans="1:13" x14ac:dyDescent="0.3">
      <c r="A765" t="s">
        <v>1598</v>
      </c>
      <c r="B765" t="s">
        <v>1599</v>
      </c>
      <c r="C765" t="s">
        <v>93</v>
      </c>
      <c r="D765">
        <v>52</v>
      </c>
      <c r="E765" t="s">
        <v>89</v>
      </c>
      <c r="F765" t="s">
        <v>90</v>
      </c>
      <c r="G765" t="s">
        <v>16</v>
      </c>
      <c r="H765">
        <v>3</v>
      </c>
      <c r="I765" t="str" cm="1">
        <f t="array" ref="I765">_xlfn.IFS(H765&lt;=5, "0-5", H765&lt;=10, "6-10", H765&lt;=15, "11-15", H765&lt;=20, "16-20", H765&gt;20, "21+")</f>
        <v>0-5</v>
      </c>
      <c r="J765">
        <v>40</v>
      </c>
      <c r="K765">
        <v>2.2000000000000002</v>
      </c>
      <c r="M765" s="1">
        <v>0.96</v>
      </c>
    </row>
    <row r="766" spans="1:13" x14ac:dyDescent="0.3">
      <c r="A766" t="s">
        <v>1600</v>
      </c>
      <c r="B766" t="s">
        <v>1601</v>
      </c>
      <c r="C766" t="s">
        <v>93</v>
      </c>
      <c r="D766">
        <v>27</v>
      </c>
      <c r="E766" t="s">
        <v>46</v>
      </c>
      <c r="F766" t="s">
        <v>47</v>
      </c>
      <c r="G766" t="s">
        <v>16</v>
      </c>
      <c r="H766">
        <v>30</v>
      </c>
      <c r="I766" t="str" cm="1">
        <f t="array" ref="I766">_xlfn.IFS(H766&lt;=5, "0-5", H766&lt;=10, "6-10", H766&lt;=15, "11-15", H766&lt;=20, "16-20", H766&gt;20, "21+")</f>
        <v>21+</v>
      </c>
      <c r="J766">
        <v>20</v>
      </c>
      <c r="L766" t="s">
        <v>2085</v>
      </c>
      <c r="M766" s="1">
        <v>0.63</v>
      </c>
    </row>
    <row r="767" spans="1:13" x14ac:dyDescent="0.3">
      <c r="A767" t="s">
        <v>1602</v>
      </c>
      <c r="B767" t="s">
        <v>1603</v>
      </c>
      <c r="C767" t="s">
        <v>93</v>
      </c>
      <c r="D767">
        <v>48</v>
      </c>
      <c r="E767" t="s">
        <v>20</v>
      </c>
      <c r="F767" t="s">
        <v>21</v>
      </c>
      <c r="G767" t="s">
        <v>29</v>
      </c>
      <c r="H767">
        <v>3</v>
      </c>
      <c r="I767" t="str" cm="1">
        <f t="array" ref="I767">_xlfn.IFS(H767&lt;=5, "0-5", H767&lt;=10, "6-10", H767&lt;=15, "11-15", H767&lt;=20, "16-20", H767&gt;20, "21+")</f>
        <v>0-5</v>
      </c>
      <c r="J767">
        <v>40</v>
      </c>
      <c r="K767">
        <v>2.2000000000000002</v>
      </c>
      <c r="L767" t="s">
        <v>2085</v>
      </c>
      <c r="M767" s="1">
        <v>0.67</v>
      </c>
    </row>
    <row r="768" spans="1:13" x14ac:dyDescent="0.3">
      <c r="A768" t="s">
        <v>1604</v>
      </c>
      <c r="B768" t="s">
        <v>1605</v>
      </c>
      <c r="C768" t="s">
        <v>73</v>
      </c>
      <c r="D768">
        <v>22</v>
      </c>
      <c r="E768" t="s">
        <v>81</v>
      </c>
      <c r="F768" t="s">
        <v>82</v>
      </c>
      <c r="G768" t="s">
        <v>48</v>
      </c>
      <c r="H768">
        <v>19</v>
      </c>
      <c r="I768" t="str" cm="1">
        <f t="array" ref="I768">_xlfn.IFS(H768&lt;=5, "0-5", H768&lt;=10, "6-10", H768&lt;=15, "11-15", H768&lt;=20, "16-20", H768&gt;20, "21+")</f>
        <v>16-20</v>
      </c>
      <c r="J768">
        <v>30</v>
      </c>
      <c r="K768">
        <v>3.3</v>
      </c>
      <c r="L768" t="s">
        <v>2086</v>
      </c>
      <c r="M768" s="1">
        <v>0.61</v>
      </c>
    </row>
    <row r="769" spans="1:13" x14ac:dyDescent="0.3">
      <c r="A769" t="s">
        <v>1606</v>
      </c>
      <c r="B769" t="s">
        <v>1607</v>
      </c>
      <c r="C769" t="s">
        <v>73</v>
      </c>
      <c r="D769">
        <v>48</v>
      </c>
      <c r="E769" t="s">
        <v>27</v>
      </c>
      <c r="F769" t="s">
        <v>28</v>
      </c>
      <c r="G769" t="s">
        <v>22</v>
      </c>
      <c r="H769">
        <v>11</v>
      </c>
      <c r="I769" t="str" cm="1">
        <f t="array" ref="I769">_xlfn.IFS(H769&lt;=5, "0-5", H769&lt;=10, "6-10", H769&lt;=15, "11-15", H769&lt;=20, "16-20", H769&gt;20, "21+")</f>
        <v>11-15</v>
      </c>
      <c r="J769">
        <v>30</v>
      </c>
      <c r="K769">
        <v>4.9000000000000004</v>
      </c>
      <c r="L769" t="s">
        <v>2085</v>
      </c>
      <c r="M769" s="1">
        <v>0.77</v>
      </c>
    </row>
    <row r="770" spans="1:13" x14ac:dyDescent="0.3">
      <c r="A770" t="s">
        <v>1608</v>
      </c>
      <c r="B770" t="s">
        <v>1609</v>
      </c>
      <c r="C770" t="s">
        <v>73</v>
      </c>
      <c r="D770">
        <v>54</v>
      </c>
      <c r="E770" t="s">
        <v>55</v>
      </c>
      <c r="F770" t="s">
        <v>21</v>
      </c>
      <c r="G770" t="s">
        <v>22</v>
      </c>
      <c r="H770">
        <v>26</v>
      </c>
      <c r="I770" t="str" cm="1">
        <f t="array" ref="I770">_xlfn.IFS(H770&lt;=5, "0-5", H770&lt;=10, "6-10", H770&lt;=15, "11-15", H770&lt;=20, "16-20", H770&gt;20, "21+")</f>
        <v>21+</v>
      </c>
      <c r="J770">
        <v>75</v>
      </c>
      <c r="K770">
        <v>0</v>
      </c>
    </row>
    <row r="771" spans="1:13" x14ac:dyDescent="0.3">
      <c r="A771" t="s">
        <v>1610</v>
      </c>
      <c r="B771" t="s">
        <v>1611</v>
      </c>
      <c r="C771" t="s">
        <v>73</v>
      </c>
      <c r="D771">
        <v>52</v>
      </c>
      <c r="E771" t="s">
        <v>108</v>
      </c>
      <c r="F771" t="s">
        <v>109</v>
      </c>
      <c r="G771" t="s">
        <v>48</v>
      </c>
      <c r="H771">
        <v>10</v>
      </c>
      <c r="I771" t="str" cm="1">
        <f t="array" ref="I771">_xlfn.IFS(H771&lt;=5, "0-5", H771&lt;=10, "6-10", H771&lt;=15, "11-15", H771&lt;=20, "16-20", H771&gt;20, "21+")</f>
        <v>6-10</v>
      </c>
      <c r="J771">
        <v>50</v>
      </c>
      <c r="L771" t="s">
        <v>2085</v>
      </c>
      <c r="M771" s="1">
        <v>0.84</v>
      </c>
    </row>
    <row r="772" spans="1:13" x14ac:dyDescent="0.3">
      <c r="A772" t="s">
        <v>1612</v>
      </c>
      <c r="B772" t="s">
        <v>1613</v>
      </c>
      <c r="C772" t="s">
        <v>73</v>
      </c>
      <c r="D772">
        <v>39</v>
      </c>
      <c r="E772" t="s">
        <v>59</v>
      </c>
      <c r="F772" t="s">
        <v>60</v>
      </c>
      <c r="G772" t="s">
        <v>34</v>
      </c>
      <c r="H772">
        <v>17</v>
      </c>
      <c r="I772" t="str" cm="1">
        <f t="array" ref="I772">_xlfn.IFS(H772&lt;=5, "0-5", H772&lt;=10, "6-10", H772&lt;=15, "11-15", H772&lt;=20, "16-20", H772&gt;20, "21+")</f>
        <v>16-20</v>
      </c>
      <c r="J772">
        <v>100</v>
      </c>
      <c r="L772" t="s">
        <v>2086</v>
      </c>
      <c r="M772" s="1">
        <v>0.89</v>
      </c>
    </row>
    <row r="773" spans="1:13" x14ac:dyDescent="0.3">
      <c r="A773" t="s">
        <v>1614</v>
      </c>
      <c r="B773" t="s">
        <v>1615</v>
      </c>
      <c r="C773" t="s">
        <v>73</v>
      </c>
      <c r="D773">
        <v>54</v>
      </c>
      <c r="E773" t="s">
        <v>119</v>
      </c>
      <c r="F773" t="s">
        <v>120</v>
      </c>
      <c r="G773" t="s">
        <v>22</v>
      </c>
      <c r="H773">
        <v>9</v>
      </c>
      <c r="I773" t="str" cm="1">
        <f t="array" ref="I773">_xlfn.IFS(H773&lt;=5, "0-5", H773&lt;=10, "6-10", H773&lt;=15, "11-15", H773&lt;=20, "16-20", H773&gt;20, "21+")</f>
        <v>6-10</v>
      </c>
      <c r="J773">
        <v>30</v>
      </c>
      <c r="K773">
        <v>4</v>
      </c>
      <c r="M773" s="1">
        <v>0.9</v>
      </c>
    </row>
    <row r="774" spans="1:13" x14ac:dyDescent="0.3">
      <c r="A774" t="s">
        <v>1616</v>
      </c>
      <c r="B774" t="s">
        <v>1617</v>
      </c>
      <c r="C774" t="s">
        <v>73</v>
      </c>
      <c r="D774">
        <v>22</v>
      </c>
      <c r="E774" t="s">
        <v>55</v>
      </c>
      <c r="F774" t="s">
        <v>21</v>
      </c>
      <c r="G774" t="s">
        <v>74</v>
      </c>
      <c r="H774">
        <v>0</v>
      </c>
      <c r="I774" t="str" cm="1">
        <f t="array" ref="I774">_xlfn.IFS(H774&lt;=5, "0-5", H774&lt;=10, "6-10", H774&lt;=15, "11-15", H774&lt;=20, "16-20", H774&gt;20, "21+")</f>
        <v>0-5</v>
      </c>
      <c r="J774">
        <v>20</v>
      </c>
      <c r="K774">
        <v>4.8</v>
      </c>
      <c r="L774" t="s">
        <v>2085</v>
      </c>
      <c r="M774" s="1">
        <v>0.87</v>
      </c>
    </row>
    <row r="775" spans="1:13" x14ac:dyDescent="0.3">
      <c r="A775" t="s">
        <v>1618</v>
      </c>
      <c r="B775" t="s">
        <v>1619</v>
      </c>
      <c r="C775" t="s">
        <v>73</v>
      </c>
      <c r="D775">
        <v>29</v>
      </c>
      <c r="E775" t="s">
        <v>148</v>
      </c>
      <c r="F775" t="s">
        <v>149</v>
      </c>
      <c r="G775" t="s">
        <v>22</v>
      </c>
      <c r="H775">
        <v>5</v>
      </c>
      <c r="I775" t="str" cm="1">
        <f t="array" ref="I775">_xlfn.IFS(H775&lt;=5, "0-5", H775&lt;=10, "6-10", H775&lt;=15, "11-15", H775&lt;=20, "16-20", H775&gt;20, "21+")</f>
        <v>0-5</v>
      </c>
      <c r="J775">
        <v>50</v>
      </c>
      <c r="K775">
        <v>0</v>
      </c>
      <c r="L775" t="s">
        <v>2085</v>
      </c>
      <c r="M775" s="1">
        <v>0.77</v>
      </c>
    </row>
    <row r="776" spans="1:13" x14ac:dyDescent="0.3">
      <c r="A776" t="s">
        <v>1620</v>
      </c>
      <c r="B776" t="s">
        <v>1621</v>
      </c>
      <c r="C776" t="s">
        <v>93</v>
      </c>
      <c r="D776">
        <v>23</v>
      </c>
      <c r="E776" t="s">
        <v>184</v>
      </c>
      <c r="F776" t="s">
        <v>68</v>
      </c>
      <c r="G776" t="s">
        <v>85</v>
      </c>
      <c r="H776">
        <v>15</v>
      </c>
      <c r="I776" t="str" cm="1">
        <f t="array" ref="I776">_xlfn.IFS(H776&lt;=5, "0-5", H776&lt;=10, "6-10", H776&lt;=15, "11-15", H776&lt;=20, "16-20", H776&gt;20, "21+")</f>
        <v>11-15</v>
      </c>
      <c r="J776">
        <v>30</v>
      </c>
      <c r="K776">
        <v>1.6</v>
      </c>
      <c r="L776" t="s">
        <v>2086</v>
      </c>
      <c r="M776" s="1">
        <v>0.72</v>
      </c>
    </row>
    <row r="777" spans="1:13" x14ac:dyDescent="0.3">
      <c r="A777" t="s">
        <v>1622</v>
      </c>
      <c r="B777" t="s">
        <v>1623</v>
      </c>
      <c r="C777" t="s">
        <v>73</v>
      </c>
      <c r="D777">
        <v>58</v>
      </c>
      <c r="E777" t="s">
        <v>173</v>
      </c>
      <c r="F777" t="s">
        <v>68</v>
      </c>
      <c r="G777" t="s">
        <v>85</v>
      </c>
      <c r="H777">
        <v>3</v>
      </c>
      <c r="I777" t="str" cm="1">
        <f t="array" ref="I777">_xlfn.IFS(H777&lt;=5, "0-5", H777&lt;=10, "6-10", H777&lt;=15, "11-15", H777&lt;=20, "16-20", H777&gt;20, "21+")</f>
        <v>0-5</v>
      </c>
      <c r="J777">
        <v>50</v>
      </c>
      <c r="K777">
        <v>1.3</v>
      </c>
      <c r="L777" t="s">
        <v>2086</v>
      </c>
      <c r="M777" s="1">
        <v>0.87</v>
      </c>
    </row>
    <row r="778" spans="1:13" x14ac:dyDescent="0.3">
      <c r="A778" t="s">
        <v>1624</v>
      </c>
      <c r="B778" t="s">
        <v>1625</v>
      </c>
      <c r="C778" t="s">
        <v>73</v>
      </c>
      <c r="D778">
        <v>56</v>
      </c>
      <c r="E778" t="s">
        <v>169</v>
      </c>
      <c r="F778" t="s">
        <v>170</v>
      </c>
      <c r="G778" t="s">
        <v>16</v>
      </c>
      <c r="H778">
        <v>1</v>
      </c>
      <c r="I778" t="str" cm="1">
        <f t="array" ref="I778">_xlfn.IFS(H778&lt;=5, "0-5", H778&lt;=10, "6-10", H778&lt;=15, "11-15", H778&lt;=20, "16-20", H778&gt;20, "21+")</f>
        <v>0-5</v>
      </c>
      <c r="J778">
        <v>40</v>
      </c>
      <c r="K778">
        <v>4.0999999999999996</v>
      </c>
      <c r="L778" t="s">
        <v>2086</v>
      </c>
      <c r="M778" s="1">
        <v>0.89</v>
      </c>
    </row>
    <row r="779" spans="1:13" x14ac:dyDescent="0.3">
      <c r="A779" t="s">
        <v>1626</v>
      </c>
      <c r="B779" t="s">
        <v>1627</v>
      </c>
      <c r="C779" t="s">
        <v>93</v>
      </c>
      <c r="D779">
        <v>48</v>
      </c>
      <c r="E779" t="s">
        <v>59</v>
      </c>
      <c r="F779" t="s">
        <v>60</v>
      </c>
      <c r="G779" t="s">
        <v>34</v>
      </c>
      <c r="H779">
        <v>13</v>
      </c>
      <c r="I779" t="str" cm="1">
        <f t="array" ref="I779">_xlfn.IFS(H779&lt;=5, "0-5", H779&lt;=10, "6-10", H779&lt;=15, "11-15", H779&lt;=20, "16-20", H779&gt;20, "21+")</f>
        <v>11-15</v>
      </c>
      <c r="J779">
        <v>40</v>
      </c>
      <c r="K779">
        <v>1.5</v>
      </c>
      <c r="L779" t="s">
        <v>2085</v>
      </c>
      <c r="M779" s="1">
        <v>0.87</v>
      </c>
    </row>
    <row r="780" spans="1:13" x14ac:dyDescent="0.3">
      <c r="A780" t="s">
        <v>1628</v>
      </c>
      <c r="B780" t="s">
        <v>1629</v>
      </c>
      <c r="C780" t="s">
        <v>73</v>
      </c>
      <c r="D780">
        <v>31</v>
      </c>
      <c r="E780" t="s">
        <v>119</v>
      </c>
      <c r="F780" t="s">
        <v>120</v>
      </c>
      <c r="G780" t="s">
        <v>22</v>
      </c>
      <c r="H780">
        <v>6</v>
      </c>
      <c r="I780" t="str" cm="1">
        <f t="array" ref="I780">_xlfn.IFS(H780&lt;=5, "0-5", H780&lt;=10, "6-10", H780&lt;=15, "11-15", H780&lt;=20, "16-20", H780&gt;20, "21+")</f>
        <v>6-10</v>
      </c>
      <c r="J780">
        <v>40</v>
      </c>
      <c r="K780">
        <v>4.3</v>
      </c>
      <c r="L780" t="s">
        <v>2086</v>
      </c>
      <c r="M780" s="1">
        <v>0.76</v>
      </c>
    </row>
    <row r="781" spans="1:13" x14ac:dyDescent="0.3">
      <c r="A781" t="s">
        <v>1630</v>
      </c>
      <c r="B781" t="s">
        <v>1631</v>
      </c>
      <c r="C781" t="s">
        <v>93</v>
      </c>
      <c r="D781">
        <v>44</v>
      </c>
      <c r="E781" t="s">
        <v>20</v>
      </c>
      <c r="F781" t="s">
        <v>21</v>
      </c>
      <c r="G781" t="s">
        <v>110</v>
      </c>
      <c r="H781">
        <v>4</v>
      </c>
      <c r="I781" t="str" cm="1">
        <f t="array" ref="I781">_xlfn.IFS(H781&lt;=5, "0-5", H781&lt;=10, "6-10", H781&lt;=15, "11-15", H781&lt;=20, "16-20", H781&gt;20, "21+")</f>
        <v>0-5</v>
      </c>
      <c r="J781">
        <v>50</v>
      </c>
      <c r="K781">
        <v>1.6</v>
      </c>
      <c r="M781" s="1">
        <v>1</v>
      </c>
    </row>
    <row r="782" spans="1:13" x14ac:dyDescent="0.3">
      <c r="A782" t="s">
        <v>1632</v>
      </c>
      <c r="B782" t="s">
        <v>1633</v>
      </c>
      <c r="C782" t="s">
        <v>73</v>
      </c>
      <c r="D782">
        <v>42</v>
      </c>
      <c r="E782" t="s">
        <v>134</v>
      </c>
      <c r="F782" t="s">
        <v>135</v>
      </c>
      <c r="G782" t="s">
        <v>22</v>
      </c>
      <c r="H782">
        <v>7</v>
      </c>
      <c r="I782" t="str" cm="1">
        <f t="array" ref="I782">_xlfn.IFS(H782&lt;=5, "0-5", H782&lt;=10, "6-10", H782&lt;=15, "11-15", H782&lt;=20, "16-20", H782&gt;20, "21+")</f>
        <v>6-10</v>
      </c>
      <c r="J782">
        <v>100</v>
      </c>
      <c r="K782">
        <v>3.7</v>
      </c>
      <c r="L782" t="s">
        <v>2086</v>
      </c>
      <c r="M782" s="1">
        <v>0.94</v>
      </c>
    </row>
    <row r="783" spans="1:13" x14ac:dyDescent="0.3">
      <c r="A783" t="s">
        <v>1634</v>
      </c>
      <c r="B783" t="s">
        <v>1635</v>
      </c>
      <c r="C783" t="s">
        <v>93</v>
      </c>
      <c r="D783">
        <v>59</v>
      </c>
      <c r="E783" t="s">
        <v>55</v>
      </c>
      <c r="F783" t="s">
        <v>21</v>
      </c>
      <c r="G783" t="s">
        <v>74</v>
      </c>
      <c r="H783">
        <v>1</v>
      </c>
      <c r="I783" t="str" cm="1">
        <f t="array" ref="I783">_xlfn.IFS(H783&lt;=5, "0-5", H783&lt;=10, "6-10", H783&lt;=15, "11-15", H783&lt;=20, "16-20", H783&gt;20, "21+")</f>
        <v>0-5</v>
      </c>
      <c r="J783">
        <v>50</v>
      </c>
      <c r="K783">
        <v>1.4</v>
      </c>
      <c r="L783" t="s">
        <v>2086</v>
      </c>
    </row>
    <row r="784" spans="1:13" x14ac:dyDescent="0.3">
      <c r="A784" t="s">
        <v>1636</v>
      </c>
      <c r="B784" t="s">
        <v>1637</v>
      </c>
      <c r="C784" t="s">
        <v>73</v>
      </c>
      <c r="E784" t="s">
        <v>67</v>
      </c>
      <c r="F784" t="s">
        <v>68</v>
      </c>
      <c r="G784" t="s">
        <v>16</v>
      </c>
      <c r="H784">
        <v>5</v>
      </c>
      <c r="I784" t="str" cm="1">
        <f t="array" ref="I784">_xlfn.IFS(H784&lt;=5, "0-5", H784&lt;=10, "6-10", H784&lt;=15, "11-15", H784&lt;=20, "16-20", H784&gt;20, "21+")</f>
        <v>0-5</v>
      </c>
      <c r="J784">
        <v>100</v>
      </c>
      <c r="K784">
        <v>4.5</v>
      </c>
      <c r="L784" t="s">
        <v>2086</v>
      </c>
      <c r="M784" s="1">
        <v>0.83</v>
      </c>
    </row>
    <row r="785" spans="1:13" x14ac:dyDescent="0.3">
      <c r="A785" t="s">
        <v>1638</v>
      </c>
      <c r="B785" t="s">
        <v>1639</v>
      </c>
      <c r="C785" t="s">
        <v>93</v>
      </c>
      <c r="D785">
        <v>21</v>
      </c>
      <c r="E785" t="s">
        <v>169</v>
      </c>
      <c r="F785" t="s">
        <v>170</v>
      </c>
      <c r="G785" t="s">
        <v>48</v>
      </c>
      <c r="H785">
        <v>29</v>
      </c>
      <c r="I785" t="str" cm="1">
        <f t="array" ref="I785">_xlfn.IFS(H785&lt;=5, "0-5", H785&lt;=10, "6-10", H785&lt;=15, "11-15", H785&lt;=20, "16-20", H785&gt;20, "21+")</f>
        <v>21+</v>
      </c>
      <c r="J785">
        <v>40</v>
      </c>
      <c r="K785">
        <v>3.7</v>
      </c>
      <c r="L785" t="s">
        <v>2085</v>
      </c>
      <c r="M785" s="1">
        <v>0.74</v>
      </c>
    </row>
    <row r="786" spans="1:13" x14ac:dyDescent="0.3">
      <c r="A786" t="s">
        <v>1640</v>
      </c>
      <c r="B786" t="s">
        <v>1641</v>
      </c>
      <c r="C786" t="s">
        <v>93</v>
      </c>
      <c r="D786">
        <v>53</v>
      </c>
      <c r="E786" t="s">
        <v>63</v>
      </c>
      <c r="F786" t="s">
        <v>21</v>
      </c>
      <c r="G786" t="s">
        <v>85</v>
      </c>
      <c r="H786">
        <v>12</v>
      </c>
      <c r="I786" t="str" cm="1">
        <f t="array" ref="I786">_xlfn.IFS(H786&lt;=5, "0-5", H786&lt;=10, "6-10", H786&lt;=15, "11-15", H786&lt;=20, "16-20", H786&gt;20, "21+")</f>
        <v>11-15</v>
      </c>
      <c r="J786">
        <v>75</v>
      </c>
      <c r="K786">
        <v>1.1000000000000001</v>
      </c>
      <c r="L786" t="s">
        <v>2085</v>
      </c>
      <c r="M786" s="1">
        <v>0.92</v>
      </c>
    </row>
    <row r="787" spans="1:13" x14ac:dyDescent="0.3">
      <c r="A787" t="s">
        <v>1642</v>
      </c>
      <c r="B787" t="s">
        <v>1643</v>
      </c>
      <c r="C787" t="s">
        <v>93</v>
      </c>
      <c r="D787">
        <v>35</v>
      </c>
      <c r="E787" t="s">
        <v>67</v>
      </c>
      <c r="F787" t="s">
        <v>68</v>
      </c>
      <c r="G787" t="s">
        <v>22</v>
      </c>
      <c r="H787">
        <v>4</v>
      </c>
      <c r="I787" t="str" cm="1">
        <f t="array" ref="I787">_xlfn.IFS(H787&lt;=5, "0-5", H787&lt;=10, "6-10", H787&lt;=15, "11-15", H787&lt;=20, "16-20", H787&gt;20, "21+")</f>
        <v>0-5</v>
      </c>
      <c r="K787">
        <v>3.7</v>
      </c>
      <c r="L787" t="s">
        <v>2085</v>
      </c>
      <c r="M787" s="1">
        <v>0.66</v>
      </c>
    </row>
    <row r="788" spans="1:13" x14ac:dyDescent="0.3">
      <c r="A788" t="s">
        <v>1644</v>
      </c>
      <c r="B788" t="s">
        <v>1645</v>
      </c>
      <c r="C788" t="s">
        <v>73</v>
      </c>
      <c r="D788">
        <v>25</v>
      </c>
      <c r="E788" t="s">
        <v>103</v>
      </c>
      <c r="F788" t="s">
        <v>104</v>
      </c>
      <c r="G788" t="s">
        <v>110</v>
      </c>
      <c r="H788">
        <v>12</v>
      </c>
      <c r="I788" t="str" cm="1">
        <f t="array" ref="I788">_xlfn.IFS(H788&lt;=5, "0-5", H788&lt;=10, "6-10", H788&lt;=15, "11-15", H788&lt;=20, "16-20", H788&gt;20, "21+")</f>
        <v>11-15</v>
      </c>
      <c r="J788">
        <v>50</v>
      </c>
      <c r="K788">
        <v>3.2</v>
      </c>
      <c r="L788" t="s">
        <v>2086</v>
      </c>
      <c r="M788" s="1">
        <v>0.74</v>
      </c>
    </row>
    <row r="789" spans="1:13" x14ac:dyDescent="0.3">
      <c r="A789" t="s">
        <v>1646</v>
      </c>
      <c r="B789" t="s">
        <v>1647</v>
      </c>
      <c r="C789" t="s">
        <v>73</v>
      </c>
      <c r="D789">
        <v>23</v>
      </c>
      <c r="E789" t="s">
        <v>14</v>
      </c>
      <c r="F789" t="s">
        <v>15</v>
      </c>
      <c r="G789" t="s">
        <v>69</v>
      </c>
      <c r="H789">
        <v>3</v>
      </c>
      <c r="I789" t="str" cm="1">
        <f t="array" ref="I789">_xlfn.IFS(H789&lt;=5, "0-5", H789&lt;=10, "6-10", H789&lt;=15, "11-15", H789&lt;=20, "16-20", H789&gt;20, "21+")</f>
        <v>0-5</v>
      </c>
      <c r="J789">
        <v>30</v>
      </c>
      <c r="K789">
        <v>5</v>
      </c>
      <c r="L789" t="s">
        <v>2085</v>
      </c>
      <c r="M789" s="1">
        <v>0.97</v>
      </c>
    </row>
    <row r="790" spans="1:13" x14ac:dyDescent="0.3">
      <c r="A790" t="s">
        <v>1648</v>
      </c>
      <c r="B790" t="s">
        <v>1649</v>
      </c>
      <c r="C790" t="s">
        <v>73</v>
      </c>
      <c r="D790">
        <v>56</v>
      </c>
      <c r="E790" t="s">
        <v>134</v>
      </c>
      <c r="F790" t="s">
        <v>135</v>
      </c>
      <c r="G790" t="s">
        <v>29</v>
      </c>
      <c r="H790">
        <v>15</v>
      </c>
      <c r="I790" t="str" cm="1">
        <f t="array" ref="I790">_xlfn.IFS(H790&lt;=5, "0-5", H790&lt;=10, "6-10", H790&lt;=15, "11-15", H790&lt;=20, "16-20", H790&gt;20, "21+")</f>
        <v>11-15</v>
      </c>
      <c r="J790">
        <v>30</v>
      </c>
      <c r="K790">
        <v>0</v>
      </c>
      <c r="M790" s="1">
        <v>0.77</v>
      </c>
    </row>
    <row r="791" spans="1:13" x14ac:dyDescent="0.3">
      <c r="A791" t="s">
        <v>1650</v>
      </c>
      <c r="B791" t="s">
        <v>1651</v>
      </c>
      <c r="C791" t="s">
        <v>73</v>
      </c>
      <c r="D791">
        <v>31</v>
      </c>
      <c r="E791" t="s">
        <v>173</v>
      </c>
      <c r="F791" t="s">
        <v>68</v>
      </c>
      <c r="G791" t="s">
        <v>69</v>
      </c>
      <c r="H791">
        <v>15</v>
      </c>
      <c r="I791" t="str" cm="1">
        <f t="array" ref="I791">_xlfn.IFS(H791&lt;=5, "0-5", H791&lt;=10, "6-10", H791&lt;=15, "11-15", H791&lt;=20, "16-20", H791&gt;20, "21+")</f>
        <v>11-15</v>
      </c>
      <c r="K791">
        <v>3.5</v>
      </c>
      <c r="L791" t="s">
        <v>2085</v>
      </c>
      <c r="M791" s="1">
        <v>0.86</v>
      </c>
    </row>
    <row r="792" spans="1:13" x14ac:dyDescent="0.3">
      <c r="A792" t="s">
        <v>1652</v>
      </c>
      <c r="B792" t="s">
        <v>1653</v>
      </c>
      <c r="C792" t="s">
        <v>93</v>
      </c>
      <c r="D792">
        <v>24</v>
      </c>
      <c r="E792" t="s">
        <v>55</v>
      </c>
      <c r="F792" t="s">
        <v>21</v>
      </c>
      <c r="G792" t="s">
        <v>74</v>
      </c>
      <c r="H792">
        <v>13</v>
      </c>
      <c r="I792" t="str" cm="1">
        <f t="array" ref="I792">_xlfn.IFS(H792&lt;=5, "0-5", H792&lt;=10, "6-10", H792&lt;=15, "11-15", H792&lt;=20, "16-20", H792&gt;20, "21+")</f>
        <v>11-15</v>
      </c>
      <c r="J792">
        <v>50</v>
      </c>
      <c r="K792">
        <v>3.1</v>
      </c>
      <c r="L792" t="s">
        <v>2085</v>
      </c>
      <c r="M792" s="1">
        <v>0.95</v>
      </c>
    </row>
    <row r="793" spans="1:13" x14ac:dyDescent="0.3">
      <c r="A793" t="s">
        <v>1654</v>
      </c>
      <c r="B793" t="s">
        <v>1655</v>
      </c>
      <c r="C793" t="s">
        <v>73</v>
      </c>
      <c r="D793">
        <v>35</v>
      </c>
      <c r="E793" t="s">
        <v>103</v>
      </c>
      <c r="F793" t="s">
        <v>104</v>
      </c>
      <c r="G793" t="s">
        <v>74</v>
      </c>
      <c r="H793">
        <v>20</v>
      </c>
      <c r="I793" t="str" cm="1">
        <f t="array" ref="I793">_xlfn.IFS(H793&lt;=5, "0-5", H793&lt;=10, "6-10", H793&lt;=15, "11-15", H793&lt;=20, "16-20", H793&gt;20, "21+")</f>
        <v>16-20</v>
      </c>
      <c r="K793">
        <v>3.9</v>
      </c>
      <c r="L793" t="s">
        <v>2085</v>
      </c>
      <c r="M793" s="1">
        <v>0.72</v>
      </c>
    </row>
    <row r="794" spans="1:13" x14ac:dyDescent="0.3">
      <c r="A794" t="s">
        <v>1656</v>
      </c>
      <c r="B794" t="s">
        <v>1657</v>
      </c>
      <c r="C794" t="s">
        <v>73</v>
      </c>
      <c r="D794">
        <v>20</v>
      </c>
      <c r="E794" t="s">
        <v>184</v>
      </c>
      <c r="F794" t="s">
        <v>68</v>
      </c>
      <c r="G794" t="s">
        <v>42</v>
      </c>
      <c r="H794">
        <v>30</v>
      </c>
      <c r="I794" t="str" cm="1">
        <f t="array" ref="I794">_xlfn.IFS(H794&lt;=5, "0-5", H794&lt;=10, "6-10", H794&lt;=15, "11-15", H794&lt;=20, "16-20", H794&gt;20, "21+")</f>
        <v>21+</v>
      </c>
      <c r="K794">
        <v>3.5</v>
      </c>
      <c r="L794" t="s">
        <v>2085</v>
      </c>
      <c r="M794" s="1">
        <v>0.71</v>
      </c>
    </row>
    <row r="795" spans="1:13" x14ac:dyDescent="0.3">
      <c r="A795" t="s">
        <v>1658</v>
      </c>
      <c r="B795" t="s">
        <v>1659</v>
      </c>
      <c r="C795" t="s">
        <v>93</v>
      </c>
      <c r="D795">
        <v>26</v>
      </c>
      <c r="E795" t="s">
        <v>20</v>
      </c>
      <c r="F795" t="s">
        <v>21</v>
      </c>
      <c r="G795" t="s">
        <v>48</v>
      </c>
      <c r="H795">
        <v>4</v>
      </c>
      <c r="I795" t="str" cm="1">
        <f t="array" ref="I795">_xlfn.IFS(H795&lt;=5, "0-5", H795&lt;=10, "6-10", H795&lt;=15, "11-15", H795&lt;=20, "16-20", H795&gt;20, "21+")</f>
        <v>0-5</v>
      </c>
      <c r="J795">
        <v>100</v>
      </c>
      <c r="K795">
        <v>2.5</v>
      </c>
      <c r="L795" t="s">
        <v>2086</v>
      </c>
      <c r="M795" s="1">
        <v>0.93</v>
      </c>
    </row>
    <row r="796" spans="1:13" x14ac:dyDescent="0.3">
      <c r="A796" t="s">
        <v>1660</v>
      </c>
      <c r="B796" t="s">
        <v>1661</v>
      </c>
      <c r="C796" t="s">
        <v>93</v>
      </c>
      <c r="D796">
        <v>54</v>
      </c>
      <c r="E796" t="s">
        <v>63</v>
      </c>
      <c r="F796" t="s">
        <v>21</v>
      </c>
      <c r="G796" t="s">
        <v>85</v>
      </c>
      <c r="I796" t="str" cm="1">
        <f t="array" ref="I796">_xlfn.IFS(H796&lt;=5, "0-5", H796&lt;=10, "6-10", H796&lt;=15, "11-15", H796&lt;=20, "16-20", H796&gt;20, "21+")</f>
        <v>0-5</v>
      </c>
      <c r="J796">
        <v>40</v>
      </c>
      <c r="K796">
        <v>3.1</v>
      </c>
      <c r="L796" t="s">
        <v>2086</v>
      </c>
    </row>
    <row r="797" spans="1:13" x14ac:dyDescent="0.3">
      <c r="A797" t="s">
        <v>1662</v>
      </c>
      <c r="B797" t="s">
        <v>1663</v>
      </c>
      <c r="C797" t="s">
        <v>93</v>
      </c>
      <c r="D797">
        <v>53</v>
      </c>
      <c r="E797" t="s">
        <v>119</v>
      </c>
      <c r="F797" t="s">
        <v>120</v>
      </c>
      <c r="G797" t="s">
        <v>74</v>
      </c>
      <c r="H797">
        <v>3</v>
      </c>
      <c r="I797" t="str" cm="1">
        <f t="array" ref="I797">_xlfn.IFS(H797&lt;=5, "0-5", H797&lt;=10, "6-10", H797&lt;=15, "11-15", H797&lt;=20, "16-20", H797&gt;20, "21+")</f>
        <v>0-5</v>
      </c>
      <c r="J797">
        <v>100</v>
      </c>
      <c r="K797">
        <v>4.7</v>
      </c>
      <c r="L797" t="s">
        <v>2086</v>
      </c>
      <c r="M797" s="1">
        <v>0.87</v>
      </c>
    </row>
    <row r="798" spans="1:13" x14ac:dyDescent="0.3">
      <c r="A798" t="s">
        <v>1664</v>
      </c>
      <c r="B798" t="s">
        <v>1665</v>
      </c>
      <c r="C798" t="s">
        <v>73</v>
      </c>
      <c r="D798">
        <v>33</v>
      </c>
      <c r="E798" t="s">
        <v>123</v>
      </c>
      <c r="F798" t="s">
        <v>21</v>
      </c>
      <c r="G798" t="s">
        <v>85</v>
      </c>
      <c r="H798">
        <v>23</v>
      </c>
      <c r="I798" t="str" cm="1">
        <f t="array" ref="I798">_xlfn.IFS(H798&lt;=5, "0-5", H798&lt;=10, "6-10", H798&lt;=15, "11-15", H798&lt;=20, "16-20", H798&gt;20, "21+")</f>
        <v>21+</v>
      </c>
      <c r="K798">
        <v>1.9</v>
      </c>
      <c r="L798" t="s">
        <v>2085</v>
      </c>
      <c r="M798" s="1">
        <v>0.73</v>
      </c>
    </row>
    <row r="799" spans="1:13" x14ac:dyDescent="0.3">
      <c r="A799" t="s">
        <v>1666</v>
      </c>
      <c r="B799" t="s">
        <v>1667</v>
      </c>
      <c r="C799" t="s">
        <v>93</v>
      </c>
      <c r="D799">
        <v>43</v>
      </c>
      <c r="E799" t="s">
        <v>40</v>
      </c>
      <c r="F799" t="s">
        <v>41</v>
      </c>
      <c r="G799" t="s">
        <v>34</v>
      </c>
      <c r="H799">
        <v>28</v>
      </c>
      <c r="I799" t="str" cm="1">
        <f t="array" ref="I799">_xlfn.IFS(H799&lt;=5, "0-5", H799&lt;=10, "6-10", H799&lt;=15, "11-15", H799&lt;=20, "16-20", H799&gt;20, "21+")</f>
        <v>21+</v>
      </c>
      <c r="K799">
        <v>1.6</v>
      </c>
      <c r="L799" t="s">
        <v>2086</v>
      </c>
      <c r="M799" s="1">
        <v>0.74</v>
      </c>
    </row>
    <row r="800" spans="1:13" x14ac:dyDescent="0.3">
      <c r="A800" t="s">
        <v>1668</v>
      </c>
      <c r="B800" t="s">
        <v>1669</v>
      </c>
      <c r="C800" t="s">
        <v>93</v>
      </c>
      <c r="D800">
        <v>37</v>
      </c>
      <c r="E800" t="s">
        <v>123</v>
      </c>
      <c r="F800" t="s">
        <v>21</v>
      </c>
      <c r="G800" t="s">
        <v>85</v>
      </c>
      <c r="H800">
        <v>0</v>
      </c>
      <c r="I800" t="str" cm="1">
        <f t="array" ref="I800">_xlfn.IFS(H800&lt;=5, "0-5", H800&lt;=10, "6-10", H800&lt;=15, "11-15", H800&lt;=20, "16-20", H800&gt;20, "21+")</f>
        <v>0-5</v>
      </c>
      <c r="J800">
        <v>20</v>
      </c>
      <c r="K800">
        <v>2.5</v>
      </c>
      <c r="L800" t="s">
        <v>2085</v>
      </c>
      <c r="M800" s="1">
        <v>0.62</v>
      </c>
    </row>
    <row r="801" spans="1:13" x14ac:dyDescent="0.3">
      <c r="A801" t="s">
        <v>1670</v>
      </c>
      <c r="B801" t="s">
        <v>1671</v>
      </c>
      <c r="C801" t="s">
        <v>73</v>
      </c>
      <c r="D801">
        <v>58</v>
      </c>
      <c r="E801" t="s">
        <v>130</v>
      </c>
      <c r="F801" t="s">
        <v>131</v>
      </c>
      <c r="G801" t="s">
        <v>48</v>
      </c>
      <c r="H801">
        <v>30</v>
      </c>
      <c r="I801" t="str" cm="1">
        <f t="array" ref="I801">_xlfn.IFS(H801&lt;=5, "0-5", H801&lt;=10, "6-10", H801&lt;=15, "11-15", H801&lt;=20, "16-20", H801&gt;20, "21+")</f>
        <v>21+</v>
      </c>
      <c r="J801">
        <v>20</v>
      </c>
      <c r="K801">
        <v>3.5</v>
      </c>
      <c r="M801" s="1">
        <v>0.98</v>
      </c>
    </row>
    <row r="802" spans="1:13" x14ac:dyDescent="0.3">
      <c r="A802" t="s">
        <v>1672</v>
      </c>
      <c r="B802" t="s">
        <v>1673</v>
      </c>
      <c r="C802" t="s">
        <v>73</v>
      </c>
      <c r="D802">
        <v>39</v>
      </c>
      <c r="E802" t="s">
        <v>184</v>
      </c>
      <c r="F802" t="s">
        <v>68</v>
      </c>
      <c r="G802" t="s">
        <v>22</v>
      </c>
      <c r="H802">
        <v>20</v>
      </c>
      <c r="I802" t="str" cm="1">
        <f t="array" ref="I802">_xlfn.IFS(H802&lt;=5, "0-5", H802&lt;=10, "6-10", H802&lt;=15, "11-15", H802&lt;=20, "16-20", H802&gt;20, "21+")</f>
        <v>16-20</v>
      </c>
      <c r="J802">
        <v>50</v>
      </c>
      <c r="L802" t="s">
        <v>2085</v>
      </c>
      <c r="M802" s="1">
        <v>0.8</v>
      </c>
    </row>
    <row r="803" spans="1:13" x14ac:dyDescent="0.3">
      <c r="A803" t="s">
        <v>1674</v>
      </c>
      <c r="B803" t="s">
        <v>1675</v>
      </c>
      <c r="C803" t="s">
        <v>93</v>
      </c>
      <c r="D803">
        <v>43</v>
      </c>
      <c r="E803" t="s">
        <v>59</v>
      </c>
      <c r="F803" t="s">
        <v>60</v>
      </c>
      <c r="G803" t="s">
        <v>29</v>
      </c>
      <c r="H803">
        <v>0</v>
      </c>
      <c r="I803" t="str" cm="1">
        <f t="array" ref="I803">_xlfn.IFS(H803&lt;=5, "0-5", H803&lt;=10, "6-10", H803&lt;=15, "11-15", H803&lt;=20, "16-20", H803&gt;20, "21+")</f>
        <v>0-5</v>
      </c>
      <c r="J803">
        <v>20</v>
      </c>
      <c r="K803">
        <v>1.2</v>
      </c>
      <c r="L803" t="s">
        <v>2086</v>
      </c>
      <c r="M803" s="1">
        <v>0.69</v>
      </c>
    </row>
    <row r="804" spans="1:13" x14ac:dyDescent="0.3">
      <c r="A804" t="s">
        <v>1676</v>
      </c>
      <c r="B804" t="s">
        <v>1677</v>
      </c>
      <c r="C804" t="s">
        <v>73</v>
      </c>
      <c r="D804">
        <v>40</v>
      </c>
      <c r="E804" t="s">
        <v>184</v>
      </c>
      <c r="F804" t="s">
        <v>68</v>
      </c>
      <c r="G804" t="s">
        <v>16</v>
      </c>
      <c r="H804">
        <v>4</v>
      </c>
      <c r="I804" t="str" cm="1">
        <f t="array" ref="I804">_xlfn.IFS(H804&lt;=5, "0-5", H804&lt;=10, "6-10", H804&lt;=15, "11-15", H804&lt;=20, "16-20", H804&gt;20, "21+")</f>
        <v>0-5</v>
      </c>
      <c r="J804">
        <v>30</v>
      </c>
      <c r="L804" t="s">
        <v>2085</v>
      </c>
      <c r="M804" s="1">
        <v>0.9</v>
      </c>
    </row>
    <row r="805" spans="1:13" x14ac:dyDescent="0.3">
      <c r="A805" t="s">
        <v>1678</v>
      </c>
      <c r="B805" t="s">
        <v>1679</v>
      </c>
      <c r="C805" t="s">
        <v>73</v>
      </c>
      <c r="D805">
        <v>51</v>
      </c>
      <c r="E805" t="s">
        <v>63</v>
      </c>
      <c r="F805" t="s">
        <v>21</v>
      </c>
      <c r="G805" t="s">
        <v>110</v>
      </c>
      <c r="H805">
        <v>10</v>
      </c>
      <c r="I805" t="str" cm="1">
        <f t="array" ref="I805">_xlfn.IFS(H805&lt;=5, "0-5", H805&lt;=10, "6-10", H805&lt;=15, "11-15", H805&lt;=20, "16-20", H805&gt;20, "21+")</f>
        <v>6-10</v>
      </c>
      <c r="J805">
        <v>75</v>
      </c>
      <c r="L805" t="s">
        <v>2086</v>
      </c>
      <c r="M805" s="1">
        <v>0.74</v>
      </c>
    </row>
    <row r="806" spans="1:13" x14ac:dyDescent="0.3">
      <c r="A806" t="s">
        <v>1680</v>
      </c>
      <c r="B806" t="s">
        <v>1681</v>
      </c>
      <c r="C806" t="s">
        <v>93</v>
      </c>
      <c r="D806">
        <v>23</v>
      </c>
      <c r="E806" t="s">
        <v>27</v>
      </c>
      <c r="F806" t="s">
        <v>28</v>
      </c>
      <c r="G806" t="s">
        <v>42</v>
      </c>
      <c r="H806">
        <v>24</v>
      </c>
      <c r="I806" t="str" cm="1">
        <f t="array" ref="I806">_xlfn.IFS(H806&lt;=5, "0-5", H806&lt;=10, "6-10", H806&lt;=15, "11-15", H806&lt;=20, "16-20", H806&gt;20, "21+")</f>
        <v>21+</v>
      </c>
      <c r="J806">
        <v>50</v>
      </c>
      <c r="K806">
        <v>4.5</v>
      </c>
      <c r="L806" t="s">
        <v>2085</v>
      </c>
      <c r="M806" s="1">
        <v>0.98</v>
      </c>
    </row>
    <row r="807" spans="1:13" x14ac:dyDescent="0.3">
      <c r="A807" t="s">
        <v>1682</v>
      </c>
      <c r="B807" t="s">
        <v>1683</v>
      </c>
      <c r="C807" t="s">
        <v>73</v>
      </c>
      <c r="D807">
        <v>31</v>
      </c>
      <c r="E807" t="s">
        <v>46</v>
      </c>
      <c r="F807" t="s">
        <v>47</v>
      </c>
      <c r="G807" t="s">
        <v>29</v>
      </c>
      <c r="H807">
        <v>21</v>
      </c>
      <c r="I807" t="str" cm="1">
        <f t="array" ref="I807">_xlfn.IFS(H807&lt;=5, "0-5", H807&lt;=10, "6-10", H807&lt;=15, "11-15", H807&lt;=20, "16-20", H807&gt;20, "21+")</f>
        <v>21+</v>
      </c>
      <c r="J807">
        <v>20</v>
      </c>
      <c r="L807" t="s">
        <v>2086</v>
      </c>
      <c r="M807" s="1">
        <v>0.84</v>
      </c>
    </row>
    <row r="808" spans="1:13" x14ac:dyDescent="0.3">
      <c r="A808" t="s">
        <v>1684</v>
      </c>
      <c r="B808" t="s">
        <v>1685</v>
      </c>
      <c r="C808" t="s">
        <v>73</v>
      </c>
      <c r="D808">
        <v>44</v>
      </c>
      <c r="E808" t="s">
        <v>119</v>
      </c>
      <c r="F808" t="s">
        <v>120</v>
      </c>
      <c r="G808" t="s">
        <v>34</v>
      </c>
      <c r="H808">
        <v>2</v>
      </c>
      <c r="I808" t="str" cm="1">
        <f t="array" ref="I808">_xlfn.IFS(H808&lt;=5, "0-5", H808&lt;=10, "6-10", H808&lt;=15, "11-15", H808&lt;=20, "16-20", H808&gt;20, "21+")</f>
        <v>0-5</v>
      </c>
      <c r="J808">
        <v>20</v>
      </c>
      <c r="K808">
        <v>5</v>
      </c>
      <c r="L808" t="s">
        <v>2086</v>
      </c>
      <c r="M808" s="1">
        <v>0.75</v>
      </c>
    </row>
    <row r="809" spans="1:13" x14ac:dyDescent="0.3">
      <c r="A809" t="s">
        <v>1686</v>
      </c>
      <c r="B809" t="s">
        <v>1687</v>
      </c>
      <c r="C809" t="s">
        <v>93</v>
      </c>
      <c r="D809">
        <v>56</v>
      </c>
      <c r="E809" t="s">
        <v>27</v>
      </c>
      <c r="F809" t="s">
        <v>28</v>
      </c>
      <c r="G809" t="s">
        <v>22</v>
      </c>
      <c r="H809">
        <v>14</v>
      </c>
      <c r="I809" t="str" cm="1">
        <f t="array" ref="I809">_xlfn.IFS(H809&lt;=5, "0-5", H809&lt;=10, "6-10", H809&lt;=15, "11-15", H809&lt;=20, "16-20", H809&gt;20, "21+")</f>
        <v>11-15</v>
      </c>
      <c r="J809">
        <v>75</v>
      </c>
      <c r="K809">
        <v>3.9</v>
      </c>
      <c r="L809" t="s">
        <v>2086</v>
      </c>
    </row>
    <row r="810" spans="1:13" x14ac:dyDescent="0.3">
      <c r="A810" t="s">
        <v>1688</v>
      </c>
      <c r="B810" t="s">
        <v>2109</v>
      </c>
      <c r="C810" t="s">
        <v>73</v>
      </c>
      <c r="D810">
        <v>48</v>
      </c>
      <c r="E810" t="s">
        <v>20</v>
      </c>
      <c r="F810" t="s">
        <v>21</v>
      </c>
      <c r="G810" t="s">
        <v>74</v>
      </c>
      <c r="H810">
        <v>15</v>
      </c>
      <c r="I810" t="str" cm="1">
        <f t="array" ref="I810">_xlfn.IFS(H810&lt;=5, "0-5", H810&lt;=10, "6-10", H810&lt;=15, "11-15", H810&lt;=20, "16-20", H810&gt;20, "21+")</f>
        <v>11-15</v>
      </c>
      <c r="J810">
        <v>100</v>
      </c>
      <c r="K810">
        <v>1.8</v>
      </c>
      <c r="L810" t="s">
        <v>2086</v>
      </c>
      <c r="M810" s="1">
        <v>0.97</v>
      </c>
    </row>
    <row r="811" spans="1:13" x14ac:dyDescent="0.3">
      <c r="A811" t="s">
        <v>1690</v>
      </c>
      <c r="B811" t="s">
        <v>1691</v>
      </c>
      <c r="C811" t="s">
        <v>73</v>
      </c>
      <c r="D811">
        <v>46</v>
      </c>
      <c r="E811" t="s">
        <v>119</v>
      </c>
      <c r="F811" t="s">
        <v>120</v>
      </c>
      <c r="G811" t="s">
        <v>34</v>
      </c>
      <c r="H811">
        <v>11</v>
      </c>
      <c r="I811" t="str" cm="1">
        <f t="array" ref="I811">_xlfn.IFS(H811&lt;=5, "0-5", H811&lt;=10, "6-10", H811&lt;=15, "11-15", H811&lt;=20, "16-20", H811&gt;20, "21+")</f>
        <v>11-15</v>
      </c>
      <c r="J811">
        <v>30</v>
      </c>
      <c r="K811">
        <v>4.2</v>
      </c>
      <c r="L811" t="s">
        <v>2086</v>
      </c>
    </row>
    <row r="812" spans="1:13" x14ac:dyDescent="0.3">
      <c r="A812" t="s">
        <v>1692</v>
      </c>
      <c r="B812" t="s">
        <v>1693</v>
      </c>
      <c r="C812" t="s">
        <v>93</v>
      </c>
      <c r="D812">
        <v>21</v>
      </c>
      <c r="E812" t="s">
        <v>134</v>
      </c>
      <c r="F812" t="s">
        <v>135</v>
      </c>
      <c r="G812" t="s">
        <v>42</v>
      </c>
      <c r="H812">
        <v>6</v>
      </c>
      <c r="I812" t="str" cm="1">
        <f t="array" ref="I812">_xlfn.IFS(H812&lt;=5, "0-5", H812&lt;=10, "6-10", H812&lt;=15, "11-15", H812&lt;=20, "16-20", H812&gt;20, "21+")</f>
        <v>6-10</v>
      </c>
      <c r="J812">
        <v>20</v>
      </c>
      <c r="K812">
        <v>2.6</v>
      </c>
      <c r="L812" t="s">
        <v>2085</v>
      </c>
      <c r="M812" s="1">
        <v>0.64</v>
      </c>
    </row>
    <row r="813" spans="1:13" x14ac:dyDescent="0.3">
      <c r="A813" t="s">
        <v>1694</v>
      </c>
      <c r="B813" t="s">
        <v>1695</v>
      </c>
      <c r="C813" t="s">
        <v>93</v>
      </c>
      <c r="D813">
        <v>52</v>
      </c>
      <c r="E813" t="s">
        <v>119</v>
      </c>
      <c r="F813" t="s">
        <v>120</v>
      </c>
      <c r="G813" t="s">
        <v>48</v>
      </c>
      <c r="H813">
        <v>2</v>
      </c>
      <c r="I813" t="str" cm="1">
        <f t="array" ref="I813">_xlfn.IFS(H813&lt;=5, "0-5", H813&lt;=10, "6-10", H813&lt;=15, "11-15", H813&lt;=20, "16-20", H813&gt;20, "21+")</f>
        <v>0-5</v>
      </c>
      <c r="J813">
        <v>30</v>
      </c>
      <c r="K813">
        <v>2</v>
      </c>
      <c r="L813" t="s">
        <v>2086</v>
      </c>
      <c r="M813" s="1">
        <v>0.68</v>
      </c>
    </row>
    <row r="814" spans="1:13" x14ac:dyDescent="0.3">
      <c r="A814" t="s">
        <v>1696</v>
      </c>
      <c r="B814" t="s">
        <v>1697</v>
      </c>
      <c r="C814" t="s">
        <v>73</v>
      </c>
      <c r="D814">
        <v>39</v>
      </c>
      <c r="E814" t="s">
        <v>119</v>
      </c>
      <c r="F814" t="s">
        <v>120</v>
      </c>
      <c r="G814" t="s">
        <v>29</v>
      </c>
      <c r="H814">
        <v>1</v>
      </c>
      <c r="I814" t="str" cm="1">
        <f t="array" ref="I814">_xlfn.IFS(H814&lt;=5, "0-5", H814&lt;=10, "6-10", H814&lt;=15, "11-15", H814&lt;=20, "16-20", H814&gt;20, "21+")</f>
        <v>0-5</v>
      </c>
      <c r="J814">
        <v>75</v>
      </c>
      <c r="K814">
        <v>2.7</v>
      </c>
      <c r="L814" t="s">
        <v>2086</v>
      </c>
      <c r="M814" s="1">
        <v>0.67</v>
      </c>
    </row>
    <row r="815" spans="1:13" x14ac:dyDescent="0.3">
      <c r="A815" t="s">
        <v>1698</v>
      </c>
      <c r="B815" t="s">
        <v>1699</v>
      </c>
      <c r="C815" t="s">
        <v>73</v>
      </c>
      <c r="D815">
        <v>31</v>
      </c>
      <c r="E815" t="s">
        <v>20</v>
      </c>
      <c r="F815" t="s">
        <v>21</v>
      </c>
      <c r="G815" t="s">
        <v>22</v>
      </c>
      <c r="H815">
        <v>2</v>
      </c>
      <c r="I815" t="str" cm="1">
        <f t="array" ref="I815">_xlfn.IFS(H815&lt;=5, "0-5", H815&lt;=10, "6-10", H815&lt;=15, "11-15", H815&lt;=20, "16-20", H815&gt;20, "21+")</f>
        <v>0-5</v>
      </c>
      <c r="J815">
        <v>30</v>
      </c>
      <c r="K815">
        <v>2.2999999999999998</v>
      </c>
      <c r="L815" t="s">
        <v>2085</v>
      </c>
      <c r="M815" s="1">
        <v>0.79</v>
      </c>
    </row>
    <row r="816" spans="1:13" x14ac:dyDescent="0.3">
      <c r="A816" t="s">
        <v>1700</v>
      </c>
      <c r="B816" t="s">
        <v>1701</v>
      </c>
      <c r="C816" t="s">
        <v>93</v>
      </c>
      <c r="D816">
        <v>22</v>
      </c>
      <c r="E816" t="s">
        <v>108</v>
      </c>
      <c r="F816" t="s">
        <v>109</v>
      </c>
      <c r="G816" t="s">
        <v>69</v>
      </c>
      <c r="H816">
        <v>2</v>
      </c>
      <c r="I816" t="str" cm="1">
        <f t="array" ref="I816">_xlfn.IFS(H816&lt;=5, "0-5", H816&lt;=10, "6-10", H816&lt;=15, "11-15", H816&lt;=20, "16-20", H816&gt;20, "21+")</f>
        <v>0-5</v>
      </c>
      <c r="J816">
        <v>40</v>
      </c>
      <c r="K816">
        <v>3.8</v>
      </c>
      <c r="L816" t="s">
        <v>2086</v>
      </c>
      <c r="M816" s="1">
        <v>1</v>
      </c>
    </row>
    <row r="817" spans="1:13" x14ac:dyDescent="0.3">
      <c r="A817" t="s">
        <v>1702</v>
      </c>
      <c r="B817" t="s">
        <v>1703</v>
      </c>
      <c r="C817" t="s">
        <v>73</v>
      </c>
      <c r="D817">
        <v>38</v>
      </c>
      <c r="E817" t="s">
        <v>63</v>
      </c>
      <c r="F817" t="s">
        <v>21</v>
      </c>
      <c r="G817" t="s">
        <v>69</v>
      </c>
      <c r="H817">
        <v>2</v>
      </c>
      <c r="I817" t="str" cm="1">
        <f t="array" ref="I817">_xlfn.IFS(H817&lt;=5, "0-5", H817&lt;=10, "6-10", H817&lt;=15, "11-15", H817&lt;=20, "16-20", H817&gt;20, "21+")</f>
        <v>0-5</v>
      </c>
      <c r="J817">
        <v>40</v>
      </c>
      <c r="L817" t="s">
        <v>2085</v>
      </c>
      <c r="M817" s="1">
        <v>0.66</v>
      </c>
    </row>
    <row r="818" spans="1:13" x14ac:dyDescent="0.3">
      <c r="A818" t="s">
        <v>1704</v>
      </c>
      <c r="B818" t="s">
        <v>1705</v>
      </c>
      <c r="C818" t="s">
        <v>93</v>
      </c>
      <c r="D818">
        <v>44</v>
      </c>
      <c r="E818" t="s">
        <v>67</v>
      </c>
      <c r="F818" t="s">
        <v>68</v>
      </c>
      <c r="G818" t="s">
        <v>29</v>
      </c>
      <c r="H818">
        <v>12</v>
      </c>
      <c r="I818" t="str" cm="1">
        <f t="array" ref="I818">_xlfn.IFS(H818&lt;=5, "0-5", H818&lt;=10, "6-10", H818&lt;=15, "11-15", H818&lt;=20, "16-20", H818&gt;20, "21+")</f>
        <v>11-15</v>
      </c>
      <c r="J818">
        <v>75</v>
      </c>
      <c r="K818">
        <v>4.5999999999999996</v>
      </c>
      <c r="L818" t="s">
        <v>2085</v>
      </c>
      <c r="M818" s="1">
        <v>0.97</v>
      </c>
    </row>
    <row r="819" spans="1:13" x14ac:dyDescent="0.3">
      <c r="A819" t="s">
        <v>1706</v>
      </c>
      <c r="B819" t="s">
        <v>1707</v>
      </c>
      <c r="C819" t="s">
        <v>93</v>
      </c>
      <c r="D819">
        <v>53</v>
      </c>
      <c r="E819" t="s">
        <v>46</v>
      </c>
      <c r="F819" t="s">
        <v>47</v>
      </c>
      <c r="G819" t="s">
        <v>110</v>
      </c>
      <c r="H819">
        <v>28</v>
      </c>
      <c r="I819" t="str" cm="1">
        <f t="array" ref="I819">_xlfn.IFS(H819&lt;=5, "0-5", H819&lt;=10, "6-10", H819&lt;=15, "11-15", H819&lt;=20, "16-20", H819&gt;20, "21+")</f>
        <v>21+</v>
      </c>
      <c r="J819">
        <v>100</v>
      </c>
      <c r="K819">
        <v>3.4</v>
      </c>
      <c r="L819" t="s">
        <v>2085</v>
      </c>
      <c r="M819" s="1">
        <v>0.62</v>
      </c>
    </row>
    <row r="820" spans="1:13" x14ac:dyDescent="0.3">
      <c r="A820" t="s">
        <v>1708</v>
      </c>
      <c r="B820" t="s">
        <v>1709</v>
      </c>
      <c r="C820" t="s">
        <v>93</v>
      </c>
      <c r="D820">
        <v>22</v>
      </c>
      <c r="E820" t="s">
        <v>169</v>
      </c>
      <c r="F820" t="s">
        <v>170</v>
      </c>
      <c r="G820" t="s">
        <v>48</v>
      </c>
      <c r="H820">
        <v>4</v>
      </c>
      <c r="I820" t="str" cm="1">
        <f t="array" ref="I820">_xlfn.IFS(H820&lt;=5, "0-5", H820&lt;=10, "6-10", H820&lt;=15, "11-15", H820&lt;=20, "16-20", H820&gt;20, "21+")</f>
        <v>0-5</v>
      </c>
      <c r="J820">
        <v>20</v>
      </c>
      <c r="L820" t="s">
        <v>2085</v>
      </c>
    </row>
    <row r="821" spans="1:13" x14ac:dyDescent="0.3">
      <c r="A821" t="s">
        <v>1710</v>
      </c>
      <c r="B821" t="s">
        <v>1711</v>
      </c>
      <c r="C821" t="s">
        <v>73</v>
      </c>
      <c r="D821">
        <v>40</v>
      </c>
      <c r="E821" t="s">
        <v>89</v>
      </c>
      <c r="F821" t="s">
        <v>90</v>
      </c>
      <c r="G821" t="s">
        <v>16</v>
      </c>
      <c r="H821">
        <v>3</v>
      </c>
      <c r="I821" t="str" cm="1">
        <f t="array" ref="I821">_xlfn.IFS(H821&lt;=5, "0-5", H821&lt;=10, "6-10", H821&lt;=15, "11-15", H821&lt;=20, "16-20", H821&gt;20, "21+")</f>
        <v>0-5</v>
      </c>
      <c r="J821">
        <v>75</v>
      </c>
      <c r="K821">
        <v>0</v>
      </c>
      <c r="L821" t="s">
        <v>2086</v>
      </c>
      <c r="M821" s="1">
        <v>0.79</v>
      </c>
    </row>
    <row r="822" spans="1:13" x14ac:dyDescent="0.3">
      <c r="A822" t="s">
        <v>1712</v>
      </c>
      <c r="B822" t="s">
        <v>1713</v>
      </c>
      <c r="C822" t="s">
        <v>73</v>
      </c>
      <c r="D822">
        <v>49</v>
      </c>
      <c r="E822" t="s">
        <v>169</v>
      </c>
      <c r="F822" t="s">
        <v>170</v>
      </c>
      <c r="G822" t="s">
        <v>22</v>
      </c>
      <c r="H822">
        <v>4</v>
      </c>
      <c r="I822" t="str" cm="1">
        <f t="array" ref="I822">_xlfn.IFS(H822&lt;=5, "0-5", H822&lt;=10, "6-10", H822&lt;=15, "11-15", H822&lt;=20, "16-20", H822&gt;20, "21+")</f>
        <v>0-5</v>
      </c>
      <c r="J822">
        <v>40</v>
      </c>
      <c r="K822">
        <v>3.9</v>
      </c>
      <c r="L822" t="s">
        <v>2085</v>
      </c>
      <c r="M822" s="1">
        <v>0.86</v>
      </c>
    </row>
    <row r="823" spans="1:13" x14ac:dyDescent="0.3">
      <c r="A823" t="s">
        <v>1714</v>
      </c>
      <c r="B823" t="s">
        <v>1715</v>
      </c>
      <c r="C823" t="s">
        <v>93</v>
      </c>
      <c r="D823">
        <v>30</v>
      </c>
      <c r="E823" t="s">
        <v>20</v>
      </c>
      <c r="F823" t="s">
        <v>21</v>
      </c>
      <c r="G823" t="s">
        <v>69</v>
      </c>
      <c r="H823">
        <v>1</v>
      </c>
      <c r="I823" t="str" cm="1">
        <f t="array" ref="I823">_xlfn.IFS(H823&lt;=5, "0-5", H823&lt;=10, "6-10", H823&lt;=15, "11-15", H823&lt;=20, "16-20", H823&gt;20, "21+")</f>
        <v>0-5</v>
      </c>
      <c r="J823">
        <v>30</v>
      </c>
      <c r="K823">
        <v>4.2</v>
      </c>
      <c r="L823" t="s">
        <v>2085</v>
      </c>
      <c r="M823" s="1">
        <v>0.65</v>
      </c>
    </row>
    <row r="824" spans="1:13" x14ac:dyDescent="0.3">
      <c r="A824" t="s">
        <v>1716</v>
      </c>
      <c r="B824" t="s">
        <v>1717</v>
      </c>
      <c r="C824" t="s">
        <v>73</v>
      </c>
      <c r="D824">
        <v>37</v>
      </c>
      <c r="E824" t="s">
        <v>81</v>
      </c>
      <c r="F824" t="s">
        <v>82</v>
      </c>
      <c r="G824" t="s">
        <v>42</v>
      </c>
      <c r="H824">
        <v>8</v>
      </c>
      <c r="I824" t="str" cm="1">
        <f t="array" ref="I824">_xlfn.IFS(H824&lt;=5, "0-5", H824&lt;=10, "6-10", H824&lt;=15, "11-15", H824&lt;=20, "16-20", H824&gt;20, "21+")</f>
        <v>6-10</v>
      </c>
      <c r="J824">
        <v>20</v>
      </c>
      <c r="M824" s="1">
        <v>0.99</v>
      </c>
    </row>
    <row r="825" spans="1:13" x14ac:dyDescent="0.3">
      <c r="A825" t="s">
        <v>1718</v>
      </c>
      <c r="B825" t="s">
        <v>1719</v>
      </c>
      <c r="C825" t="s">
        <v>93</v>
      </c>
      <c r="D825">
        <v>21</v>
      </c>
      <c r="E825" t="s">
        <v>134</v>
      </c>
      <c r="F825" t="s">
        <v>135</v>
      </c>
      <c r="G825" t="s">
        <v>29</v>
      </c>
      <c r="H825">
        <v>11</v>
      </c>
      <c r="I825" t="str" cm="1">
        <f t="array" ref="I825">_xlfn.IFS(H825&lt;=5, "0-5", H825&lt;=10, "6-10", H825&lt;=15, "11-15", H825&lt;=20, "16-20", H825&gt;20, "21+")</f>
        <v>11-15</v>
      </c>
      <c r="J825">
        <v>100</v>
      </c>
      <c r="K825">
        <v>3.6</v>
      </c>
      <c r="L825" t="s">
        <v>2085</v>
      </c>
      <c r="M825" s="1">
        <v>0.85</v>
      </c>
    </row>
    <row r="826" spans="1:13" x14ac:dyDescent="0.3">
      <c r="A826" t="s">
        <v>1720</v>
      </c>
      <c r="B826" t="s">
        <v>1721</v>
      </c>
      <c r="C826" t="s">
        <v>93</v>
      </c>
      <c r="D826">
        <v>20</v>
      </c>
      <c r="E826" t="s">
        <v>108</v>
      </c>
      <c r="F826" t="s">
        <v>109</v>
      </c>
      <c r="G826" t="s">
        <v>42</v>
      </c>
      <c r="H826">
        <v>8</v>
      </c>
      <c r="I826" t="str" cm="1">
        <f t="array" ref="I826">_xlfn.IFS(H826&lt;=5, "0-5", H826&lt;=10, "6-10", H826&lt;=15, "11-15", H826&lt;=20, "16-20", H826&gt;20, "21+")</f>
        <v>6-10</v>
      </c>
      <c r="J826">
        <v>50</v>
      </c>
      <c r="L826" t="s">
        <v>2086</v>
      </c>
      <c r="M826" s="1">
        <v>0.81</v>
      </c>
    </row>
    <row r="827" spans="1:13" x14ac:dyDescent="0.3">
      <c r="A827" t="s">
        <v>1722</v>
      </c>
      <c r="B827" t="s">
        <v>1723</v>
      </c>
      <c r="C827" t="s">
        <v>93</v>
      </c>
      <c r="D827">
        <v>20</v>
      </c>
      <c r="E827" t="s">
        <v>169</v>
      </c>
      <c r="F827" t="s">
        <v>170</v>
      </c>
      <c r="G827" t="s">
        <v>48</v>
      </c>
      <c r="H827">
        <v>32</v>
      </c>
      <c r="I827" t="str" cm="1">
        <f t="array" ref="I827">_xlfn.IFS(H827&lt;=5, "0-5", H827&lt;=10, "6-10", H827&lt;=15, "11-15", H827&lt;=20, "16-20", H827&gt;20, "21+")</f>
        <v>21+</v>
      </c>
      <c r="J827">
        <v>40</v>
      </c>
      <c r="K827">
        <v>2.1</v>
      </c>
      <c r="L827" t="s">
        <v>2085</v>
      </c>
      <c r="M827" s="1">
        <v>0.64</v>
      </c>
    </row>
    <row r="828" spans="1:13" x14ac:dyDescent="0.3">
      <c r="A828" t="s">
        <v>1724</v>
      </c>
      <c r="B828" t="s">
        <v>1725</v>
      </c>
      <c r="C828" t="s">
        <v>93</v>
      </c>
      <c r="D828">
        <v>20</v>
      </c>
      <c r="E828" t="s">
        <v>67</v>
      </c>
      <c r="F828" t="s">
        <v>68</v>
      </c>
      <c r="G828" t="s">
        <v>110</v>
      </c>
      <c r="H828">
        <v>4</v>
      </c>
      <c r="I828" t="str" cm="1">
        <f t="array" ref="I828">_xlfn.IFS(H828&lt;=5, "0-5", H828&lt;=10, "6-10", H828&lt;=15, "11-15", H828&lt;=20, "16-20", H828&gt;20, "21+")</f>
        <v>0-5</v>
      </c>
      <c r="J828">
        <v>20</v>
      </c>
      <c r="K828">
        <v>3.9</v>
      </c>
      <c r="L828" t="s">
        <v>2085</v>
      </c>
      <c r="M828" s="1">
        <v>0.84</v>
      </c>
    </row>
    <row r="829" spans="1:13" x14ac:dyDescent="0.3">
      <c r="A829" t="s">
        <v>1726</v>
      </c>
      <c r="B829" t="s">
        <v>1727</v>
      </c>
      <c r="C829" t="s">
        <v>73</v>
      </c>
      <c r="D829">
        <v>26</v>
      </c>
      <c r="E829" t="s">
        <v>119</v>
      </c>
      <c r="F829" t="s">
        <v>120</v>
      </c>
      <c r="G829" t="s">
        <v>110</v>
      </c>
      <c r="H829">
        <v>33</v>
      </c>
      <c r="I829" t="str" cm="1">
        <f t="array" ref="I829">_xlfn.IFS(H829&lt;=5, "0-5", H829&lt;=10, "6-10", H829&lt;=15, "11-15", H829&lt;=20, "16-20", H829&gt;20, "21+")</f>
        <v>21+</v>
      </c>
      <c r="J829">
        <v>40</v>
      </c>
      <c r="K829">
        <v>0</v>
      </c>
      <c r="M829" s="1">
        <v>0.66</v>
      </c>
    </row>
    <row r="830" spans="1:13" x14ac:dyDescent="0.3">
      <c r="A830" t="s">
        <v>1728</v>
      </c>
      <c r="B830" t="s">
        <v>1729</v>
      </c>
      <c r="C830" t="s">
        <v>73</v>
      </c>
      <c r="D830">
        <v>50</v>
      </c>
      <c r="E830" t="s">
        <v>108</v>
      </c>
      <c r="F830" t="s">
        <v>109</v>
      </c>
      <c r="G830" t="s">
        <v>34</v>
      </c>
      <c r="H830">
        <v>14</v>
      </c>
      <c r="I830" t="str" cm="1">
        <f t="array" ref="I830">_xlfn.IFS(H830&lt;=5, "0-5", H830&lt;=10, "6-10", H830&lt;=15, "11-15", H830&lt;=20, "16-20", H830&gt;20, "21+")</f>
        <v>11-15</v>
      </c>
      <c r="J830">
        <v>75</v>
      </c>
      <c r="K830">
        <v>0</v>
      </c>
      <c r="L830" t="s">
        <v>2085</v>
      </c>
      <c r="M830" s="1">
        <v>0.75</v>
      </c>
    </row>
    <row r="831" spans="1:13" x14ac:dyDescent="0.3">
      <c r="A831" t="s">
        <v>1730</v>
      </c>
      <c r="B831" t="s">
        <v>1731</v>
      </c>
      <c r="C831" t="s">
        <v>93</v>
      </c>
      <c r="D831">
        <v>50</v>
      </c>
      <c r="E831" t="s">
        <v>184</v>
      </c>
      <c r="F831" t="s">
        <v>68</v>
      </c>
      <c r="G831" t="s">
        <v>42</v>
      </c>
      <c r="H831">
        <v>6</v>
      </c>
      <c r="I831" t="str" cm="1">
        <f t="array" ref="I831">_xlfn.IFS(H831&lt;=5, "0-5", H831&lt;=10, "6-10", H831&lt;=15, "11-15", H831&lt;=20, "16-20", H831&gt;20, "21+")</f>
        <v>6-10</v>
      </c>
      <c r="J831">
        <v>30</v>
      </c>
      <c r="K831">
        <v>1.8</v>
      </c>
    </row>
    <row r="832" spans="1:13" x14ac:dyDescent="0.3">
      <c r="A832" t="s">
        <v>1732</v>
      </c>
      <c r="B832" t="s">
        <v>1733</v>
      </c>
      <c r="C832" t="s">
        <v>73</v>
      </c>
      <c r="D832">
        <v>54</v>
      </c>
      <c r="E832" t="s">
        <v>46</v>
      </c>
      <c r="F832" t="s">
        <v>47</v>
      </c>
      <c r="G832" t="s">
        <v>42</v>
      </c>
      <c r="H832">
        <v>5</v>
      </c>
      <c r="I832" t="str" cm="1">
        <f t="array" ref="I832">_xlfn.IFS(H832&lt;=5, "0-5", H832&lt;=10, "6-10", H832&lt;=15, "11-15", H832&lt;=20, "16-20", H832&gt;20, "21+")</f>
        <v>0-5</v>
      </c>
      <c r="J832">
        <v>20</v>
      </c>
      <c r="K832">
        <v>1.1000000000000001</v>
      </c>
      <c r="L832" t="s">
        <v>2086</v>
      </c>
      <c r="M832" s="1">
        <v>0.63</v>
      </c>
    </row>
    <row r="833" spans="1:13" x14ac:dyDescent="0.3">
      <c r="A833" t="s">
        <v>1734</v>
      </c>
      <c r="B833" t="s">
        <v>1735</v>
      </c>
      <c r="C833" t="s">
        <v>93</v>
      </c>
      <c r="D833">
        <v>54</v>
      </c>
      <c r="E833" t="s">
        <v>184</v>
      </c>
      <c r="F833" t="s">
        <v>68</v>
      </c>
      <c r="G833" t="s">
        <v>16</v>
      </c>
      <c r="H833">
        <v>3</v>
      </c>
      <c r="I833" t="str" cm="1">
        <f t="array" ref="I833">_xlfn.IFS(H833&lt;=5, "0-5", H833&lt;=10, "6-10", H833&lt;=15, "11-15", H833&lt;=20, "16-20", H833&gt;20, "21+")</f>
        <v>0-5</v>
      </c>
      <c r="J833">
        <v>20</v>
      </c>
      <c r="K833">
        <v>1.6</v>
      </c>
      <c r="L833" t="s">
        <v>2086</v>
      </c>
      <c r="M833" s="1">
        <v>0.7</v>
      </c>
    </row>
    <row r="834" spans="1:13" x14ac:dyDescent="0.3">
      <c r="A834" t="s">
        <v>1736</v>
      </c>
      <c r="B834" t="s">
        <v>1737</v>
      </c>
      <c r="C834" t="s">
        <v>73</v>
      </c>
      <c r="D834">
        <v>34</v>
      </c>
      <c r="E834" t="s">
        <v>134</v>
      </c>
      <c r="F834" t="s">
        <v>135</v>
      </c>
      <c r="G834" t="s">
        <v>110</v>
      </c>
      <c r="H834">
        <v>17</v>
      </c>
      <c r="I834" t="str" cm="1">
        <f t="array" ref="I834">_xlfn.IFS(H834&lt;=5, "0-5", H834&lt;=10, "6-10", H834&lt;=15, "11-15", H834&lt;=20, "16-20", H834&gt;20, "21+")</f>
        <v>16-20</v>
      </c>
      <c r="J834">
        <v>30</v>
      </c>
      <c r="K834">
        <v>3.1</v>
      </c>
      <c r="M834" s="1">
        <v>0.9</v>
      </c>
    </row>
    <row r="835" spans="1:13" x14ac:dyDescent="0.3">
      <c r="A835" t="s">
        <v>1738</v>
      </c>
      <c r="B835" t="s">
        <v>1739</v>
      </c>
      <c r="C835" t="s">
        <v>73</v>
      </c>
      <c r="D835">
        <v>20</v>
      </c>
      <c r="E835" t="s">
        <v>14</v>
      </c>
      <c r="F835" t="s">
        <v>15</v>
      </c>
      <c r="G835" t="s">
        <v>85</v>
      </c>
      <c r="H835">
        <v>9</v>
      </c>
      <c r="I835" t="str" cm="1">
        <f t="array" ref="I835">_xlfn.IFS(H835&lt;=5, "0-5", H835&lt;=10, "6-10", H835&lt;=15, "11-15", H835&lt;=20, "16-20", H835&gt;20, "21+")</f>
        <v>6-10</v>
      </c>
      <c r="J835">
        <v>50</v>
      </c>
      <c r="K835">
        <v>3.4</v>
      </c>
      <c r="L835" t="s">
        <v>2086</v>
      </c>
      <c r="M835" s="1">
        <v>0.79</v>
      </c>
    </row>
    <row r="836" spans="1:13" x14ac:dyDescent="0.3">
      <c r="A836" t="s">
        <v>1740</v>
      </c>
      <c r="B836" t="s">
        <v>1741</v>
      </c>
      <c r="C836" t="s">
        <v>93</v>
      </c>
      <c r="D836">
        <v>29</v>
      </c>
      <c r="E836" t="s">
        <v>27</v>
      </c>
      <c r="F836" t="s">
        <v>28</v>
      </c>
      <c r="G836" t="s">
        <v>42</v>
      </c>
      <c r="H836">
        <v>16</v>
      </c>
      <c r="I836" t="str" cm="1">
        <f t="array" ref="I836">_xlfn.IFS(H836&lt;=5, "0-5", H836&lt;=10, "6-10", H836&lt;=15, "11-15", H836&lt;=20, "16-20", H836&gt;20, "21+")</f>
        <v>16-20</v>
      </c>
      <c r="J836">
        <v>40</v>
      </c>
      <c r="K836">
        <v>3.1</v>
      </c>
      <c r="L836" t="s">
        <v>2085</v>
      </c>
      <c r="M836" s="1">
        <v>0.6</v>
      </c>
    </row>
    <row r="837" spans="1:13" x14ac:dyDescent="0.3">
      <c r="A837" t="s">
        <v>1742</v>
      </c>
      <c r="B837" t="s">
        <v>1743</v>
      </c>
      <c r="C837" t="s">
        <v>73</v>
      </c>
      <c r="D837">
        <v>57</v>
      </c>
      <c r="E837" t="s">
        <v>63</v>
      </c>
      <c r="F837" t="s">
        <v>21</v>
      </c>
      <c r="G837" t="s">
        <v>85</v>
      </c>
      <c r="H837">
        <v>3</v>
      </c>
      <c r="I837" t="str" cm="1">
        <f t="array" ref="I837">_xlfn.IFS(H837&lt;=5, "0-5", H837&lt;=10, "6-10", H837&lt;=15, "11-15", H837&lt;=20, "16-20", H837&gt;20, "21+")</f>
        <v>0-5</v>
      </c>
      <c r="J837">
        <v>75</v>
      </c>
      <c r="K837">
        <v>2.2999999999999998</v>
      </c>
      <c r="L837" t="s">
        <v>2085</v>
      </c>
    </row>
    <row r="838" spans="1:13" x14ac:dyDescent="0.3">
      <c r="A838" t="s">
        <v>1744</v>
      </c>
      <c r="B838" t="s">
        <v>1745</v>
      </c>
      <c r="C838" t="s">
        <v>73</v>
      </c>
      <c r="D838">
        <v>36</v>
      </c>
      <c r="E838" t="s">
        <v>40</v>
      </c>
      <c r="F838" t="s">
        <v>41</v>
      </c>
      <c r="G838" t="s">
        <v>42</v>
      </c>
      <c r="H838">
        <v>2</v>
      </c>
      <c r="I838" t="str" cm="1">
        <f t="array" ref="I838">_xlfn.IFS(H838&lt;=5, "0-5", H838&lt;=10, "6-10", H838&lt;=15, "11-15", H838&lt;=20, "16-20", H838&gt;20, "21+")</f>
        <v>0-5</v>
      </c>
      <c r="J838">
        <v>40</v>
      </c>
      <c r="L838" t="s">
        <v>2085</v>
      </c>
      <c r="M838" s="1">
        <v>0.8</v>
      </c>
    </row>
    <row r="839" spans="1:13" x14ac:dyDescent="0.3">
      <c r="A839" t="s">
        <v>1746</v>
      </c>
      <c r="B839" t="s">
        <v>1747</v>
      </c>
      <c r="C839" t="s">
        <v>93</v>
      </c>
      <c r="D839">
        <v>51</v>
      </c>
      <c r="E839" t="s">
        <v>108</v>
      </c>
      <c r="F839" t="s">
        <v>109</v>
      </c>
      <c r="G839" t="s">
        <v>34</v>
      </c>
      <c r="H839">
        <v>16</v>
      </c>
      <c r="I839" t="str" cm="1">
        <f t="array" ref="I839">_xlfn.IFS(H839&lt;=5, "0-5", H839&lt;=10, "6-10", H839&lt;=15, "11-15", H839&lt;=20, "16-20", H839&gt;20, "21+")</f>
        <v>16-20</v>
      </c>
      <c r="J839">
        <v>50</v>
      </c>
      <c r="K839">
        <v>3.2</v>
      </c>
      <c r="L839" t="s">
        <v>2085</v>
      </c>
      <c r="M839" s="1">
        <v>0.88</v>
      </c>
    </row>
    <row r="840" spans="1:13" x14ac:dyDescent="0.3">
      <c r="A840" t="s">
        <v>1748</v>
      </c>
      <c r="B840" t="s">
        <v>1749</v>
      </c>
      <c r="C840" t="s">
        <v>93</v>
      </c>
      <c r="D840">
        <v>44</v>
      </c>
      <c r="E840" t="s">
        <v>89</v>
      </c>
      <c r="F840" t="s">
        <v>90</v>
      </c>
      <c r="G840" t="s">
        <v>69</v>
      </c>
      <c r="H840">
        <v>6</v>
      </c>
      <c r="I840" t="str" cm="1">
        <f t="array" ref="I840">_xlfn.IFS(H840&lt;=5, "0-5", H840&lt;=10, "6-10", H840&lt;=15, "11-15", H840&lt;=20, "16-20", H840&gt;20, "21+")</f>
        <v>6-10</v>
      </c>
      <c r="J840">
        <v>30</v>
      </c>
      <c r="K840">
        <v>0</v>
      </c>
      <c r="L840" t="s">
        <v>2085</v>
      </c>
      <c r="M840" s="1">
        <v>0.8</v>
      </c>
    </row>
    <row r="841" spans="1:13" x14ac:dyDescent="0.3">
      <c r="A841" t="s">
        <v>1750</v>
      </c>
      <c r="B841" t="s">
        <v>1751</v>
      </c>
      <c r="C841" t="s">
        <v>93</v>
      </c>
      <c r="D841">
        <v>58</v>
      </c>
      <c r="E841" t="s">
        <v>184</v>
      </c>
      <c r="F841" t="s">
        <v>68</v>
      </c>
      <c r="G841" t="s">
        <v>74</v>
      </c>
      <c r="H841">
        <v>10</v>
      </c>
      <c r="I841" t="str" cm="1">
        <f t="array" ref="I841">_xlfn.IFS(H841&lt;=5, "0-5", H841&lt;=10, "6-10", H841&lt;=15, "11-15", H841&lt;=20, "16-20", H841&gt;20, "21+")</f>
        <v>6-10</v>
      </c>
      <c r="J841">
        <v>30</v>
      </c>
      <c r="K841">
        <v>3.3</v>
      </c>
      <c r="L841" t="s">
        <v>2086</v>
      </c>
      <c r="M841" s="1">
        <v>0.71</v>
      </c>
    </row>
    <row r="842" spans="1:13" x14ac:dyDescent="0.3">
      <c r="A842" t="s">
        <v>1752</v>
      </c>
      <c r="B842" t="s">
        <v>1753</v>
      </c>
      <c r="C842" t="s">
        <v>73</v>
      </c>
      <c r="D842">
        <v>38</v>
      </c>
      <c r="E842" t="s">
        <v>148</v>
      </c>
      <c r="F842" t="s">
        <v>149</v>
      </c>
      <c r="G842" t="s">
        <v>22</v>
      </c>
      <c r="H842">
        <v>16</v>
      </c>
      <c r="I842" t="str" cm="1">
        <f t="array" ref="I842">_xlfn.IFS(H842&lt;=5, "0-5", H842&lt;=10, "6-10", H842&lt;=15, "11-15", H842&lt;=20, "16-20", H842&gt;20, "21+")</f>
        <v>16-20</v>
      </c>
      <c r="K842">
        <v>1.1000000000000001</v>
      </c>
      <c r="L842" t="s">
        <v>2086</v>
      </c>
      <c r="M842" s="1">
        <v>0.76</v>
      </c>
    </row>
    <row r="843" spans="1:13" x14ac:dyDescent="0.3">
      <c r="A843" t="s">
        <v>1754</v>
      </c>
      <c r="B843" t="s">
        <v>1755</v>
      </c>
      <c r="C843" t="s">
        <v>93</v>
      </c>
      <c r="D843">
        <v>24</v>
      </c>
      <c r="E843" t="s">
        <v>55</v>
      </c>
      <c r="F843" t="s">
        <v>21</v>
      </c>
      <c r="G843" t="s">
        <v>69</v>
      </c>
      <c r="H843">
        <v>0</v>
      </c>
      <c r="I843" t="str" cm="1">
        <f t="array" ref="I843">_xlfn.IFS(H843&lt;=5, "0-5", H843&lt;=10, "6-10", H843&lt;=15, "11-15", H843&lt;=20, "16-20", H843&gt;20, "21+")</f>
        <v>0-5</v>
      </c>
      <c r="J843">
        <v>30</v>
      </c>
      <c r="K843">
        <v>4.5999999999999996</v>
      </c>
      <c r="L843" t="s">
        <v>2086</v>
      </c>
      <c r="M843" s="1">
        <v>0.93</v>
      </c>
    </row>
    <row r="844" spans="1:13" x14ac:dyDescent="0.3">
      <c r="A844" t="s">
        <v>1756</v>
      </c>
      <c r="B844" t="s">
        <v>1757</v>
      </c>
      <c r="C844" t="s">
        <v>73</v>
      </c>
      <c r="D844">
        <v>30</v>
      </c>
      <c r="E844" t="s">
        <v>59</v>
      </c>
      <c r="F844" t="s">
        <v>60</v>
      </c>
      <c r="G844" t="s">
        <v>16</v>
      </c>
      <c r="H844">
        <v>13</v>
      </c>
      <c r="I844" t="str" cm="1">
        <f t="array" ref="I844">_xlfn.IFS(H844&lt;=5, "0-5", H844&lt;=10, "6-10", H844&lt;=15, "11-15", H844&lt;=20, "16-20", H844&gt;20, "21+")</f>
        <v>11-15</v>
      </c>
      <c r="J844">
        <v>30</v>
      </c>
      <c r="L844" t="s">
        <v>2085</v>
      </c>
    </row>
    <row r="845" spans="1:13" x14ac:dyDescent="0.3">
      <c r="A845" t="s">
        <v>1758</v>
      </c>
      <c r="B845" t="s">
        <v>1759</v>
      </c>
      <c r="C845" t="s">
        <v>93</v>
      </c>
      <c r="D845">
        <v>25</v>
      </c>
      <c r="E845" t="s">
        <v>46</v>
      </c>
      <c r="F845" t="s">
        <v>47</v>
      </c>
      <c r="G845" t="s">
        <v>74</v>
      </c>
      <c r="H845">
        <v>12</v>
      </c>
      <c r="I845" t="str" cm="1">
        <f t="array" ref="I845">_xlfn.IFS(H845&lt;=5, "0-5", H845&lt;=10, "6-10", H845&lt;=15, "11-15", H845&lt;=20, "16-20", H845&gt;20, "21+")</f>
        <v>11-15</v>
      </c>
      <c r="J845">
        <v>75</v>
      </c>
      <c r="L845" t="s">
        <v>2085</v>
      </c>
      <c r="M845" s="1">
        <v>0.83</v>
      </c>
    </row>
    <row r="846" spans="1:13" x14ac:dyDescent="0.3">
      <c r="A846" t="s">
        <v>1760</v>
      </c>
      <c r="B846" t="s">
        <v>1761</v>
      </c>
      <c r="C846" t="s">
        <v>93</v>
      </c>
      <c r="D846">
        <v>54</v>
      </c>
      <c r="E846" t="s">
        <v>46</v>
      </c>
      <c r="F846" t="s">
        <v>47</v>
      </c>
      <c r="G846" t="s">
        <v>22</v>
      </c>
      <c r="H846">
        <v>13</v>
      </c>
      <c r="I846" t="str" cm="1">
        <f t="array" ref="I846">_xlfn.IFS(H846&lt;=5, "0-5", H846&lt;=10, "6-10", H846&lt;=15, "11-15", H846&lt;=20, "16-20", H846&gt;20, "21+")</f>
        <v>11-15</v>
      </c>
      <c r="J846">
        <v>100</v>
      </c>
      <c r="K846">
        <v>0</v>
      </c>
      <c r="L846" t="s">
        <v>2085</v>
      </c>
      <c r="M846" s="1">
        <v>0.71</v>
      </c>
    </row>
    <row r="847" spans="1:13" x14ac:dyDescent="0.3">
      <c r="A847" t="s">
        <v>1762</v>
      </c>
      <c r="B847" t="s">
        <v>1763</v>
      </c>
      <c r="C847" t="s">
        <v>93</v>
      </c>
      <c r="D847">
        <v>54</v>
      </c>
      <c r="E847" t="s">
        <v>14</v>
      </c>
      <c r="F847" t="s">
        <v>15</v>
      </c>
      <c r="G847" t="s">
        <v>74</v>
      </c>
      <c r="H847">
        <v>22</v>
      </c>
      <c r="I847" t="str" cm="1">
        <f t="array" ref="I847">_xlfn.IFS(H847&lt;=5, "0-5", H847&lt;=10, "6-10", H847&lt;=15, "11-15", H847&lt;=20, "16-20", H847&gt;20, "21+")</f>
        <v>21+</v>
      </c>
      <c r="J847">
        <v>20</v>
      </c>
      <c r="K847">
        <v>0</v>
      </c>
      <c r="L847" t="s">
        <v>2086</v>
      </c>
      <c r="M847" s="1">
        <v>0.96</v>
      </c>
    </row>
    <row r="848" spans="1:13" x14ac:dyDescent="0.3">
      <c r="A848" t="s">
        <v>1764</v>
      </c>
      <c r="B848" t="s">
        <v>1765</v>
      </c>
      <c r="C848" t="s">
        <v>73</v>
      </c>
      <c r="D848">
        <v>53</v>
      </c>
      <c r="E848" t="s">
        <v>130</v>
      </c>
      <c r="F848" t="s">
        <v>131</v>
      </c>
      <c r="G848" t="s">
        <v>29</v>
      </c>
      <c r="H848">
        <v>1</v>
      </c>
      <c r="I848" t="str" cm="1">
        <f t="array" ref="I848">_xlfn.IFS(H848&lt;=5, "0-5", H848&lt;=10, "6-10", H848&lt;=15, "11-15", H848&lt;=20, "16-20", H848&gt;20, "21+")</f>
        <v>0-5</v>
      </c>
      <c r="J848">
        <v>40</v>
      </c>
      <c r="K848">
        <v>0</v>
      </c>
      <c r="L848" t="s">
        <v>2085</v>
      </c>
    </row>
    <row r="849" spans="1:13" x14ac:dyDescent="0.3">
      <c r="A849" t="s">
        <v>1766</v>
      </c>
      <c r="B849" t="s">
        <v>1767</v>
      </c>
      <c r="C849" t="s">
        <v>93</v>
      </c>
      <c r="D849">
        <v>22</v>
      </c>
      <c r="E849" t="s">
        <v>119</v>
      </c>
      <c r="F849" t="s">
        <v>120</v>
      </c>
      <c r="G849" t="s">
        <v>42</v>
      </c>
      <c r="I849" t="str" cm="1">
        <f t="array" ref="I849">_xlfn.IFS(H849&lt;=5, "0-5", H849&lt;=10, "6-10", H849&lt;=15, "11-15", H849&lt;=20, "16-20", H849&gt;20, "21+")</f>
        <v>0-5</v>
      </c>
      <c r="J849">
        <v>75</v>
      </c>
      <c r="K849">
        <v>3.4</v>
      </c>
      <c r="L849" t="s">
        <v>2086</v>
      </c>
      <c r="M849" s="1">
        <v>0.65</v>
      </c>
    </row>
    <row r="850" spans="1:13" x14ac:dyDescent="0.3">
      <c r="A850" t="s">
        <v>1768</v>
      </c>
      <c r="B850" t="s">
        <v>1769</v>
      </c>
      <c r="C850" t="s">
        <v>73</v>
      </c>
      <c r="D850">
        <v>23</v>
      </c>
      <c r="E850" t="s">
        <v>173</v>
      </c>
      <c r="F850" t="s">
        <v>68</v>
      </c>
      <c r="G850" t="s">
        <v>48</v>
      </c>
      <c r="H850">
        <v>12</v>
      </c>
      <c r="I850" t="str" cm="1">
        <f t="array" ref="I850">_xlfn.IFS(H850&lt;=5, "0-5", H850&lt;=10, "6-10", H850&lt;=15, "11-15", H850&lt;=20, "16-20", H850&gt;20, "21+")</f>
        <v>11-15</v>
      </c>
      <c r="J850">
        <v>20</v>
      </c>
      <c r="K850">
        <v>1.3</v>
      </c>
      <c r="L850" t="s">
        <v>2085</v>
      </c>
    </row>
    <row r="851" spans="1:13" x14ac:dyDescent="0.3">
      <c r="A851" t="s">
        <v>1770</v>
      </c>
      <c r="B851" t="s">
        <v>1771</v>
      </c>
      <c r="C851" t="s">
        <v>73</v>
      </c>
      <c r="D851">
        <v>47</v>
      </c>
      <c r="E851" t="s">
        <v>130</v>
      </c>
      <c r="F851" t="s">
        <v>131</v>
      </c>
      <c r="G851" t="s">
        <v>74</v>
      </c>
      <c r="I851" t="str" cm="1">
        <f t="array" ref="I851">_xlfn.IFS(H851&lt;=5, "0-5", H851&lt;=10, "6-10", H851&lt;=15, "11-15", H851&lt;=20, "16-20", H851&gt;20, "21+")</f>
        <v>0-5</v>
      </c>
      <c r="J851">
        <v>50</v>
      </c>
      <c r="K851">
        <v>1.9</v>
      </c>
      <c r="L851" t="s">
        <v>2085</v>
      </c>
      <c r="M851" s="1">
        <v>0.71</v>
      </c>
    </row>
    <row r="852" spans="1:13" x14ac:dyDescent="0.3">
      <c r="A852" t="s">
        <v>1772</v>
      </c>
      <c r="B852" t="s">
        <v>1773</v>
      </c>
      <c r="C852" t="s">
        <v>93</v>
      </c>
      <c r="D852">
        <v>24</v>
      </c>
      <c r="E852" t="s">
        <v>130</v>
      </c>
      <c r="F852" t="s">
        <v>131</v>
      </c>
      <c r="G852" t="s">
        <v>34</v>
      </c>
      <c r="H852">
        <v>12</v>
      </c>
      <c r="I852" t="str" cm="1">
        <f t="array" ref="I852">_xlfn.IFS(H852&lt;=5, "0-5", H852&lt;=10, "6-10", H852&lt;=15, "11-15", H852&lt;=20, "16-20", H852&gt;20, "21+")</f>
        <v>11-15</v>
      </c>
      <c r="J852">
        <v>50</v>
      </c>
      <c r="K852">
        <v>1.4</v>
      </c>
      <c r="L852" t="s">
        <v>2086</v>
      </c>
      <c r="M852" s="1">
        <v>0.63</v>
      </c>
    </row>
    <row r="853" spans="1:13" x14ac:dyDescent="0.3">
      <c r="A853" t="s">
        <v>1774</v>
      </c>
      <c r="B853" t="s">
        <v>1775</v>
      </c>
      <c r="C853" t="s">
        <v>73</v>
      </c>
      <c r="D853">
        <v>57</v>
      </c>
      <c r="E853" t="s">
        <v>89</v>
      </c>
      <c r="F853" t="s">
        <v>90</v>
      </c>
      <c r="G853" t="s">
        <v>69</v>
      </c>
      <c r="H853">
        <v>0</v>
      </c>
      <c r="I853" t="str" cm="1">
        <f t="array" ref="I853">_xlfn.IFS(H853&lt;=5, "0-5", H853&lt;=10, "6-10", H853&lt;=15, "11-15", H853&lt;=20, "16-20", H853&gt;20, "21+")</f>
        <v>0-5</v>
      </c>
      <c r="J853">
        <v>100</v>
      </c>
      <c r="K853">
        <v>4.3</v>
      </c>
      <c r="L853" t="s">
        <v>2085</v>
      </c>
    </row>
    <row r="854" spans="1:13" x14ac:dyDescent="0.3">
      <c r="A854" t="s">
        <v>1776</v>
      </c>
      <c r="B854" t="s">
        <v>1777</v>
      </c>
      <c r="C854" t="s">
        <v>93</v>
      </c>
      <c r="D854">
        <v>48</v>
      </c>
      <c r="E854" t="s">
        <v>184</v>
      </c>
      <c r="F854" t="s">
        <v>68</v>
      </c>
      <c r="G854" t="s">
        <v>29</v>
      </c>
      <c r="H854">
        <v>18</v>
      </c>
      <c r="I854" t="str" cm="1">
        <f t="array" ref="I854">_xlfn.IFS(H854&lt;=5, "0-5", H854&lt;=10, "6-10", H854&lt;=15, "11-15", H854&lt;=20, "16-20", H854&gt;20, "21+")</f>
        <v>16-20</v>
      </c>
      <c r="J854">
        <v>30</v>
      </c>
      <c r="L854" t="s">
        <v>2085</v>
      </c>
      <c r="M854" s="1">
        <v>0.97</v>
      </c>
    </row>
    <row r="855" spans="1:13" x14ac:dyDescent="0.3">
      <c r="A855" t="s">
        <v>1778</v>
      </c>
      <c r="B855" t="s">
        <v>1779</v>
      </c>
      <c r="C855" t="s">
        <v>73</v>
      </c>
      <c r="D855">
        <v>21</v>
      </c>
      <c r="E855" t="s">
        <v>59</v>
      </c>
      <c r="F855" t="s">
        <v>60</v>
      </c>
      <c r="G855" t="s">
        <v>69</v>
      </c>
      <c r="H855">
        <v>2</v>
      </c>
      <c r="I855" t="str" cm="1">
        <f t="array" ref="I855">_xlfn.IFS(H855&lt;=5, "0-5", H855&lt;=10, "6-10", H855&lt;=15, "11-15", H855&lt;=20, "16-20", H855&gt;20, "21+")</f>
        <v>0-5</v>
      </c>
      <c r="J855">
        <v>100</v>
      </c>
      <c r="K855">
        <v>4.3</v>
      </c>
      <c r="L855" t="s">
        <v>2085</v>
      </c>
    </row>
    <row r="856" spans="1:13" x14ac:dyDescent="0.3">
      <c r="A856" t="s">
        <v>1780</v>
      </c>
      <c r="B856" t="s">
        <v>1781</v>
      </c>
      <c r="C856" t="s">
        <v>93</v>
      </c>
      <c r="D856">
        <v>33</v>
      </c>
      <c r="E856" t="s">
        <v>81</v>
      </c>
      <c r="F856" t="s">
        <v>82</v>
      </c>
      <c r="G856" t="s">
        <v>42</v>
      </c>
      <c r="I856" t="str" cm="1">
        <f t="array" ref="I856">_xlfn.IFS(H856&lt;=5, "0-5", H856&lt;=10, "6-10", H856&lt;=15, "11-15", H856&lt;=20, "16-20", H856&gt;20, "21+")</f>
        <v>0-5</v>
      </c>
      <c r="J856">
        <v>75</v>
      </c>
      <c r="K856">
        <v>0</v>
      </c>
      <c r="L856" t="s">
        <v>2086</v>
      </c>
    </row>
    <row r="857" spans="1:13" x14ac:dyDescent="0.3">
      <c r="A857" t="s">
        <v>1782</v>
      </c>
      <c r="B857" t="s">
        <v>1783</v>
      </c>
      <c r="C857" t="s">
        <v>93</v>
      </c>
      <c r="D857">
        <v>41</v>
      </c>
      <c r="E857" t="s">
        <v>59</v>
      </c>
      <c r="F857" t="s">
        <v>60</v>
      </c>
      <c r="G857" t="s">
        <v>85</v>
      </c>
      <c r="H857">
        <v>2</v>
      </c>
      <c r="I857" t="str" cm="1">
        <f t="array" ref="I857">_xlfn.IFS(H857&lt;=5, "0-5", H857&lt;=10, "6-10", H857&lt;=15, "11-15", H857&lt;=20, "16-20", H857&gt;20, "21+")</f>
        <v>0-5</v>
      </c>
      <c r="K857">
        <v>1.3</v>
      </c>
      <c r="L857" t="s">
        <v>2085</v>
      </c>
      <c r="M857" s="1">
        <v>0.85</v>
      </c>
    </row>
    <row r="858" spans="1:13" x14ac:dyDescent="0.3">
      <c r="A858" t="s">
        <v>1784</v>
      </c>
      <c r="B858" t="s">
        <v>1785</v>
      </c>
      <c r="C858" t="s">
        <v>93</v>
      </c>
      <c r="D858">
        <v>40</v>
      </c>
      <c r="E858" t="s">
        <v>20</v>
      </c>
      <c r="F858" t="s">
        <v>21</v>
      </c>
      <c r="G858" t="s">
        <v>74</v>
      </c>
      <c r="H858">
        <v>35</v>
      </c>
      <c r="I858" t="str" cm="1">
        <f t="array" ref="I858">_xlfn.IFS(H858&lt;=5, "0-5", H858&lt;=10, "6-10", H858&lt;=15, "11-15", H858&lt;=20, "16-20", H858&gt;20, "21+")</f>
        <v>21+</v>
      </c>
      <c r="J858">
        <v>50</v>
      </c>
      <c r="K858">
        <v>2.9</v>
      </c>
      <c r="L858" t="s">
        <v>2085</v>
      </c>
      <c r="M858" s="1">
        <v>0.82</v>
      </c>
    </row>
    <row r="859" spans="1:13" x14ac:dyDescent="0.3">
      <c r="A859" t="s">
        <v>1786</v>
      </c>
      <c r="B859" t="s">
        <v>1787</v>
      </c>
      <c r="C859" t="s">
        <v>73</v>
      </c>
      <c r="D859">
        <v>40</v>
      </c>
      <c r="E859" t="s">
        <v>173</v>
      </c>
      <c r="F859" t="s">
        <v>68</v>
      </c>
      <c r="G859" t="s">
        <v>29</v>
      </c>
      <c r="H859">
        <v>21</v>
      </c>
      <c r="I859" t="str" cm="1">
        <f t="array" ref="I859">_xlfn.IFS(H859&lt;=5, "0-5", H859&lt;=10, "6-10", H859&lt;=15, "11-15", H859&lt;=20, "16-20", H859&gt;20, "21+")</f>
        <v>21+</v>
      </c>
      <c r="J859">
        <v>40</v>
      </c>
      <c r="K859">
        <v>4.3</v>
      </c>
      <c r="L859" t="s">
        <v>2085</v>
      </c>
      <c r="M859" s="1">
        <v>0.95</v>
      </c>
    </row>
    <row r="860" spans="1:13" x14ac:dyDescent="0.3">
      <c r="A860" t="s">
        <v>1788</v>
      </c>
      <c r="B860" t="s">
        <v>1789</v>
      </c>
      <c r="C860" t="s">
        <v>73</v>
      </c>
      <c r="D860">
        <v>20</v>
      </c>
      <c r="E860" t="s">
        <v>55</v>
      </c>
      <c r="F860" t="s">
        <v>21</v>
      </c>
      <c r="G860" t="s">
        <v>29</v>
      </c>
      <c r="H860">
        <v>3</v>
      </c>
      <c r="I860" t="str" cm="1">
        <f t="array" ref="I860">_xlfn.IFS(H860&lt;=5, "0-5", H860&lt;=10, "6-10", H860&lt;=15, "11-15", H860&lt;=20, "16-20", H860&gt;20, "21+")</f>
        <v>0-5</v>
      </c>
      <c r="K860">
        <v>2.7</v>
      </c>
      <c r="L860" t="s">
        <v>2085</v>
      </c>
      <c r="M860" s="1">
        <v>0.94</v>
      </c>
    </row>
    <row r="861" spans="1:13" x14ac:dyDescent="0.3">
      <c r="A861" t="s">
        <v>1790</v>
      </c>
      <c r="B861" t="s">
        <v>1791</v>
      </c>
      <c r="C861" t="s">
        <v>73</v>
      </c>
      <c r="D861">
        <v>42</v>
      </c>
      <c r="E861" t="s">
        <v>173</v>
      </c>
      <c r="F861" t="s">
        <v>68</v>
      </c>
      <c r="G861" t="s">
        <v>34</v>
      </c>
      <c r="H861">
        <v>24</v>
      </c>
      <c r="I861" t="str" cm="1">
        <f t="array" ref="I861">_xlfn.IFS(H861&lt;=5, "0-5", H861&lt;=10, "6-10", H861&lt;=15, "11-15", H861&lt;=20, "16-20", H861&gt;20, "21+")</f>
        <v>21+</v>
      </c>
      <c r="J861">
        <v>50</v>
      </c>
      <c r="K861">
        <v>4.2</v>
      </c>
      <c r="M861" s="1">
        <v>0.96</v>
      </c>
    </row>
    <row r="862" spans="1:13" x14ac:dyDescent="0.3">
      <c r="A862" t="s">
        <v>1792</v>
      </c>
      <c r="B862" t="s">
        <v>1793</v>
      </c>
      <c r="C862" t="s">
        <v>93</v>
      </c>
      <c r="D862">
        <v>32</v>
      </c>
      <c r="E862" t="s">
        <v>123</v>
      </c>
      <c r="F862" t="s">
        <v>21</v>
      </c>
      <c r="G862" t="s">
        <v>16</v>
      </c>
      <c r="I862" t="str" cm="1">
        <f t="array" ref="I862">_xlfn.IFS(H862&lt;=5, "0-5", H862&lt;=10, "6-10", H862&lt;=15, "11-15", H862&lt;=20, "16-20", H862&gt;20, "21+")</f>
        <v>0-5</v>
      </c>
      <c r="J862">
        <v>40</v>
      </c>
      <c r="K862">
        <v>0</v>
      </c>
      <c r="L862" t="s">
        <v>2086</v>
      </c>
      <c r="M862" s="1">
        <v>0.63</v>
      </c>
    </row>
    <row r="863" spans="1:13" x14ac:dyDescent="0.3">
      <c r="A863" t="s">
        <v>1794</v>
      </c>
      <c r="B863" t="s">
        <v>1795</v>
      </c>
      <c r="C863" t="s">
        <v>93</v>
      </c>
      <c r="D863">
        <v>60</v>
      </c>
      <c r="E863" t="s">
        <v>81</v>
      </c>
      <c r="F863" t="s">
        <v>82</v>
      </c>
      <c r="G863" t="s">
        <v>42</v>
      </c>
      <c r="H863">
        <v>0</v>
      </c>
      <c r="I863" t="str" cm="1">
        <f t="array" ref="I863">_xlfn.IFS(H863&lt;=5, "0-5", H863&lt;=10, "6-10", H863&lt;=15, "11-15", H863&lt;=20, "16-20", H863&gt;20, "21+")</f>
        <v>0-5</v>
      </c>
      <c r="J863">
        <v>20</v>
      </c>
      <c r="K863">
        <v>2.2000000000000002</v>
      </c>
      <c r="L863" t="s">
        <v>2085</v>
      </c>
      <c r="M863" s="1">
        <v>0.6</v>
      </c>
    </row>
    <row r="864" spans="1:13" x14ac:dyDescent="0.3">
      <c r="A864" t="s">
        <v>1796</v>
      </c>
      <c r="B864" t="s">
        <v>1797</v>
      </c>
      <c r="C864" t="s">
        <v>93</v>
      </c>
      <c r="D864">
        <v>46</v>
      </c>
      <c r="E864" t="s">
        <v>134</v>
      </c>
      <c r="F864" t="s">
        <v>135</v>
      </c>
      <c r="G864" t="s">
        <v>110</v>
      </c>
      <c r="H864">
        <v>2</v>
      </c>
      <c r="I864" t="str" cm="1">
        <f t="array" ref="I864">_xlfn.IFS(H864&lt;=5, "0-5", H864&lt;=10, "6-10", H864&lt;=15, "11-15", H864&lt;=20, "16-20", H864&gt;20, "21+")</f>
        <v>0-5</v>
      </c>
      <c r="J864">
        <v>50</v>
      </c>
      <c r="K864">
        <v>4.7</v>
      </c>
      <c r="L864" t="s">
        <v>2086</v>
      </c>
      <c r="M864" s="1">
        <v>0.77</v>
      </c>
    </row>
    <row r="865" spans="1:13" x14ac:dyDescent="0.3">
      <c r="A865" t="s">
        <v>1798</v>
      </c>
      <c r="B865" t="s">
        <v>1799</v>
      </c>
      <c r="C865" t="s">
        <v>93</v>
      </c>
      <c r="D865">
        <v>29</v>
      </c>
      <c r="E865" t="s">
        <v>169</v>
      </c>
      <c r="F865" t="s">
        <v>170</v>
      </c>
      <c r="G865" t="s">
        <v>85</v>
      </c>
      <c r="I865" t="str" cm="1">
        <f t="array" ref="I865">_xlfn.IFS(H865&lt;=5, "0-5", H865&lt;=10, "6-10", H865&lt;=15, "11-15", H865&lt;=20, "16-20", H865&gt;20, "21+")</f>
        <v>0-5</v>
      </c>
      <c r="J865">
        <v>30</v>
      </c>
      <c r="K865">
        <v>0</v>
      </c>
      <c r="L865" t="s">
        <v>2085</v>
      </c>
      <c r="M865" s="1">
        <v>0.63</v>
      </c>
    </row>
    <row r="866" spans="1:13" x14ac:dyDescent="0.3">
      <c r="A866" t="s">
        <v>1800</v>
      </c>
      <c r="B866" t="s">
        <v>1801</v>
      </c>
      <c r="C866" t="s">
        <v>73</v>
      </c>
      <c r="D866">
        <v>39</v>
      </c>
      <c r="E866" t="s">
        <v>103</v>
      </c>
      <c r="F866" t="s">
        <v>104</v>
      </c>
      <c r="G866" t="s">
        <v>22</v>
      </c>
      <c r="H866">
        <v>21</v>
      </c>
      <c r="I866" t="str" cm="1">
        <f t="array" ref="I866">_xlfn.IFS(H866&lt;=5, "0-5", H866&lt;=10, "6-10", H866&lt;=15, "11-15", H866&lt;=20, "16-20", H866&gt;20, "21+")</f>
        <v>21+</v>
      </c>
      <c r="J866">
        <v>20</v>
      </c>
      <c r="K866">
        <v>2.5</v>
      </c>
      <c r="L866" t="s">
        <v>2086</v>
      </c>
      <c r="M866" s="1">
        <v>0.61</v>
      </c>
    </row>
    <row r="867" spans="1:13" x14ac:dyDescent="0.3">
      <c r="A867" t="s">
        <v>1802</v>
      </c>
      <c r="B867" t="s">
        <v>1803</v>
      </c>
      <c r="C867" t="s">
        <v>93</v>
      </c>
      <c r="D867">
        <v>55</v>
      </c>
      <c r="E867" t="s">
        <v>119</v>
      </c>
      <c r="F867" t="s">
        <v>120</v>
      </c>
      <c r="G867" t="s">
        <v>22</v>
      </c>
      <c r="H867">
        <v>24</v>
      </c>
      <c r="I867" t="str" cm="1">
        <f t="array" ref="I867">_xlfn.IFS(H867&lt;=5, "0-5", H867&lt;=10, "6-10", H867&lt;=15, "11-15", H867&lt;=20, "16-20", H867&gt;20, "21+")</f>
        <v>21+</v>
      </c>
      <c r="J867">
        <v>50</v>
      </c>
      <c r="K867">
        <v>3.9</v>
      </c>
      <c r="L867" t="s">
        <v>2086</v>
      </c>
      <c r="M867" s="1">
        <v>0.88</v>
      </c>
    </row>
    <row r="868" spans="1:13" x14ac:dyDescent="0.3">
      <c r="A868" t="s">
        <v>1804</v>
      </c>
      <c r="B868" t="s">
        <v>1805</v>
      </c>
      <c r="C868" t="s">
        <v>93</v>
      </c>
      <c r="D868">
        <v>55</v>
      </c>
      <c r="E868" t="s">
        <v>59</v>
      </c>
      <c r="F868" t="s">
        <v>60</v>
      </c>
      <c r="G868" t="s">
        <v>74</v>
      </c>
      <c r="H868">
        <v>32</v>
      </c>
      <c r="I868" t="str" cm="1">
        <f t="array" ref="I868">_xlfn.IFS(H868&lt;=5, "0-5", H868&lt;=10, "6-10", H868&lt;=15, "11-15", H868&lt;=20, "16-20", H868&gt;20, "21+")</f>
        <v>21+</v>
      </c>
      <c r="J868">
        <v>100</v>
      </c>
      <c r="K868">
        <v>1.2</v>
      </c>
      <c r="L868" t="s">
        <v>2086</v>
      </c>
      <c r="M868" s="1">
        <v>0.69</v>
      </c>
    </row>
    <row r="869" spans="1:13" x14ac:dyDescent="0.3">
      <c r="A869" t="s">
        <v>1806</v>
      </c>
      <c r="B869" t="s">
        <v>1807</v>
      </c>
      <c r="C869" t="s">
        <v>93</v>
      </c>
      <c r="D869">
        <v>40</v>
      </c>
      <c r="E869" t="s">
        <v>46</v>
      </c>
      <c r="F869" t="s">
        <v>47</v>
      </c>
      <c r="G869" t="s">
        <v>48</v>
      </c>
      <c r="H869">
        <v>31</v>
      </c>
      <c r="I869" t="str" cm="1">
        <f t="array" ref="I869">_xlfn.IFS(H869&lt;=5, "0-5", H869&lt;=10, "6-10", H869&lt;=15, "11-15", H869&lt;=20, "16-20", H869&gt;20, "21+")</f>
        <v>21+</v>
      </c>
      <c r="J869">
        <v>75</v>
      </c>
      <c r="K869">
        <v>4.5</v>
      </c>
      <c r="L869" t="s">
        <v>2086</v>
      </c>
    </row>
    <row r="870" spans="1:13" x14ac:dyDescent="0.3">
      <c r="A870" t="s">
        <v>1808</v>
      </c>
      <c r="B870" t="s">
        <v>1809</v>
      </c>
      <c r="C870" t="s">
        <v>73</v>
      </c>
      <c r="D870">
        <v>56</v>
      </c>
      <c r="E870" t="s">
        <v>169</v>
      </c>
      <c r="F870" t="s">
        <v>170</v>
      </c>
      <c r="G870" t="s">
        <v>69</v>
      </c>
      <c r="I870" t="str" cm="1">
        <f t="array" ref="I870">_xlfn.IFS(H870&lt;=5, "0-5", H870&lt;=10, "6-10", H870&lt;=15, "11-15", H870&lt;=20, "16-20", H870&gt;20, "21+")</f>
        <v>0-5</v>
      </c>
      <c r="J870">
        <v>40</v>
      </c>
      <c r="K870">
        <v>2.7</v>
      </c>
      <c r="L870" t="s">
        <v>2086</v>
      </c>
      <c r="M870" s="1">
        <v>0.82</v>
      </c>
    </row>
    <row r="871" spans="1:13" x14ac:dyDescent="0.3">
      <c r="A871" t="s">
        <v>1810</v>
      </c>
      <c r="B871" t="s">
        <v>1811</v>
      </c>
      <c r="C871" t="s">
        <v>93</v>
      </c>
      <c r="D871">
        <v>57</v>
      </c>
      <c r="E871" t="s">
        <v>173</v>
      </c>
      <c r="F871" t="s">
        <v>68</v>
      </c>
      <c r="G871" t="s">
        <v>22</v>
      </c>
      <c r="H871">
        <v>24</v>
      </c>
      <c r="I871" t="str" cm="1">
        <f t="array" ref="I871">_xlfn.IFS(H871&lt;=5, "0-5", H871&lt;=10, "6-10", H871&lt;=15, "11-15", H871&lt;=20, "16-20", H871&gt;20, "21+")</f>
        <v>21+</v>
      </c>
      <c r="J871">
        <v>75</v>
      </c>
      <c r="K871">
        <v>2</v>
      </c>
      <c r="L871" t="s">
        <v>2085</v>
      </c>
      <c r="M871" s="1">
        <v>0.96</v>
      </c>
    </row>
    <row r="872" spans="1:13" x14ac:dyDescent="0.3">
      <c r="A872" t="s">
        <v>1812</v>
      </c>
      <c r="B872" t="s">
        <v>1813</v>
      </c>
      <c r="C872" t="s">
        <v>73</v>
      </c>
      <c r="D872">
        <v>56</v>
      </c>
      <c r="E872" t="s">
        <v>119</v>
      </c>
      <c r="F872" t="s">
        <v>120</v>
      </c>
      <c r="G872" t="s">
        <v>85</v>
      </c>
      <c r="I872" t="str" cm="1">
        <f t="array" ref="I872">_xlfn.IFS(H872&lt;=5, "0-5", H872&lt;=10, "6-10", H872&lt;=15, "11-15", H872&lt;=20, "16-20", H872&gt;20, "21+")</f>
        <v>0-5</v>
      </c>
      <c r="J872">
        <v>40</v>
      </c>
      <c r="K872">
        <v>1.7</v>
      </c>
      <c r="L872" t="s">
        <v>2085</v>
      </c>
      <c r="M872" s="1">
        <v>0.71</v>
      </c>
    </row>
    <row r="873" spans="1:13" x14ac:dyDescent="0.3">
      <c r="A873" t="s">
        <v>1814</v>
      </c>
      <c r="B873" t="s">
        <v>1815</v>
      </c>
      <c r="C873" t="s">
        <v>73</v>
      </c>
      <c r="D873">
        <v>49</v>
      </c>
      <c r="E873" t="s">
        <v>27</v>
      </c>
      <c r="F873" t="s">
        <v>28</v>
      </c>
      <c r="G873" t="s">
        <v>22</v>
      </c>
      <c r="H873">
        <v>6</v>
      </c>
      <c r="I873" t="str" cm="1">
        <f t="array" ref="I873">_xlfn.IFS(H873&lt;=5, "0-5", H873&lt;=10, "6-10", H873&lt;=15, "11-15", H873&lt;=20, "16-20", H873&gt;20, "21+")</f>
        <v>6-10</v>
      </c>
      <c r="J873">
        <v>75</v>
      </c>
      <c r="K873">
        <v>3</v>
      </c>
      <c r="L873" t="s">
        <v>2086</v>
      </c>
      <c r="M873" s="1">
        <v>0.77</v>
      </c>
    </row>
    <row r="874" spans="1:13" x14ac:dyDescent="0.3">
      <c r="A874" t="s">
        <v>1816</v>
      </c>
      <c r="B874" t="s">
        <v>1817</v>
      </c>
      <c r="C874" t="s">
        <v>93</v>
      </c>
      <c r="D874">
        <v>26</v>
      </c>
      <c r="E874" t="s">
        <v>184</v>
      </c>
      <c r="F874" t="s">
        <v>68</v>
      </c>
      <c r="G874" t="s">
        <v>16</v>
      </c>
      <c r="H874">
        <v>11</v>
      </c>
      <c r="I874" t="str" cm="1">
        <f t="array" ref="I874">_xlfn.IFS(H874&lt;=5, "0-5", H874&lt;=10, "6-10", H874&lt;=15, "11-15", H874&lt;=20, "16-20", H874&gt;20, "21+")</f>
        <v>11-15</v>
      </c>
      <c r="J874">
        <v>75</v>
      </c>
      <c r="K874">
        <v>2.1</v>
      </c>
      <c r="L874" t="s">
        <v>2086</v>
      </c>
    </row>
    <row r="875" spans="1:13" x14ac:dyDescent="0.3">
      <c r="A875" t="s">
        <v>1818</v>
      </c>
      <c r="B875" t="s">
        <v>1819</v>
      </c>
      <c r="C875" t="s">
        <v>73</v>
      </c>
      <c r="D875">
        <v>36</v>
      </c>
      <c r="E875" t="s">
        <v>108</v>
      </c>
      <c r="F875" t="s">
        <v>109</v>
      </c>
      <c r="G875" t="s">
        <v>69</v>
      </c>
      <c r="I875" t="str" cm="1">
        <f t="array" ref="I875">_xlfn.IFS(H875&lt;=5, "0-5", H875&lt;=10, "6-10", H875&lt;=15, "11-15", H875&lt;=20, "16-20", H875&gt;20, "21+")</f>
        <v>0-5</v>
      </c>
      <c r="J875">
        <v>75</v>
      </c>
      <c r="K875">
        <v>1.5</v>
      </c>
      <c r="M875" s="1">
        <v>0.73</v>
      </c>
    </row>
    <row r="876" spans="1:13" x14ac:dyDescent="0.3">
      <c r="A876" t="s">
        <v>1820</v>
      </c>
      <c r="B876" t="s">
        <v>1821</v>
      </c>
      <c r="C876" t="s">
        <v>93</v>
      </c>
      <c r="D876">
        <v>20</v>
      </c>
      <c r="E876" t="s">
        <v>119</v>
      </c>
      <c r="F876" t="s">
        <v>120</v>
      </c>
      <c r="G876" t="s">
        <v>34</v>
      </c>
      <c r="H876">
        <v>14</v>
      </c>
      <c r="I876" t="str" cm="1">
        <f t="array" ref="I876">_xlfn.IFS(H876&lt;=5, "0-5", H876&lt;=10, "6-10", H876&lt;=15, "11-15", H876&lt;=20, "16-20", H876&gt;20, "21+")</f>
        <v>11-15</v>
      </c>
      <c r="J876">
        <v>30</v>
      </c>
      <c r="K876">
        <v>1.7</v>
      </c>
      <c r="L876" t="s">
        <v>2086</v>
      </c>
      <c r="M876" s="1">
        <v>0.6</v>
      </c>
    </row>
    <row r="877" spans="1:13" x14ac:dyDescent="0.3">
      <c r="A877" t="s">
        <v>1822</v>
      </c>
      <c r="B877" t="s">
        <v>1823</v>
      </c>
      <c r="C877" t="s">
        <v>73</v>
      </c>
      <c r="D877">
        <v>40</v>
      </c>
      <c r="E877" t="s">
        <v>184</v>
      </c>
      <c r="F877" t="s">
        <v>68</v>
      </c>
      <c r="G877" t="s">
        <v>42</v>
      </c>
      <c r="H877">
        <v>2</v>
      </c>
      <c r="I877" t="str" cm="1">
        <f t="array" ref="I877">_xlfn.IFS(H877&lt;=5, "0-5", H877&lt;=10, "6-10", H877&lt;=15, "11-15", H877&lt;=20, "16-20", H877&gt;20, "21+")</f>
        <v>0-5</v>
      </c>
      <c r="K877">
        <v>1.2</v>
      </c>
      <c r="L877" t="s">
        <v>2086</v>
      </c>
      <c r="M877" s="1">
        <v>0.67</v>
      </c>
    </row>
    <row r="878" spans="1:13" x14ac:dyDescent="0.3">
      <c r="A878" t="s">
        <v>1824</v>
      </c>
      <c r="B878" t="s">
        <v>2110</v>
      </c>
      <c r="C878" t="s">
        <v>73</v>
      </c>
      <c r="D878">
        <v>30</v>
      </c>
      <c r="E878" t="s">
        <v>89</v>
      </c>
      <c r="F878" t="s">
        <v>90</v>
      </c>
      <c r="G878" t="s">
        <v>22</v>
      </c>
      <c r="H878">
        <v>2</v>
      </c>
      <c r="I878" t="str" cm="1">
        <f t="array" ref="I878">_xlfn.IFS(H878&lt;=5, "0-5", H878&lt;=10, "6-10", H878&lt;=15, "11-15", H878&lt;=20, "16-20", H878&gt;20, "21+")</f>
        <v>0-5</v>
      </c>
      <c r="J878">
        <v>75</v>
      </c>
      <c r="K878">
        <v>0</v>
      </c>
      <c r="L878" t="s">
        <v>2085</v>
      </c>
      <c r="M878" s="1">
        <v>0.8</v>
      </c>
    </row>
    <row r="879" spans="1:13" x14ac:dyDescent="0.3">
      <c r="A879" t="s">
        <v>1826</v>
      </c>
      <c r="B879" t="s">
        <v>1827</v>
      </c>
      <c r="C879" t="s">
        <v>93</v>
      </c>
      <c r="D879">
        <v>51</v>
      </c>
      <c r="E879" t="s">
        <v>20</v>
      </c>
      <c r="F879" t="s">
        <v>21</v>
      </c>
      <c r="G879" t="s">
        <v>29</v>
      </c>
      <c r="H879">
        <v>11</v>
      </c>
      <c r="I879" t="str" cm="1">
        <f t="array" ref="I879">_xlfn.IFS(H879&lt;=5, "0-5", H879&lt;=10, "6-10", H879&lt;=15, "11-15", H879&lt;=20, "16-20", H879&gt;20, "21+")</f>
        <v>11-15</v>
      </c>
      <c r="J879">
        <v>20</v>
      </c>
      <c r="L879" t="s">
        <v>2086</v>
      </c>
    </row>
    <row r="880" spans="1:13" x14ac:dyDescent="0.3">
      <c r="A880" t="s">
        <v>1828</v>
      </c>
      <c r="B880" t="s">
        <v>1829</v>
      </c>
      <c r="C880" t="s">
        <v>93</v>
      </c>
      <c r="D880">
        <v>46</v>
      </c>
      <c r="E880" t="s">
        <v>55</v>
      </c>
      <c r="F880" t="s">
        <v>21</v>
      </c>
      <c r="G880" t="s">
        <v>69</v>
      </c>
      <c r="H880">
        <v>13</v>
      </c>
      <c r="I880" t="str" cm="1">
        <f t="array" ref="I880">_xlfn.IFS(H880&lt;=5, "0-5", H880&lt;=10, "6-10", H880&lt;=15, "11-15", H880&lt;=20, "16-20", H880&gt;20, "21+")</f>
        <v>11-15</v>
      </c>
      <c r="J880">
        <v>40</v>
      </c>
      <c r="K880">
        <v>3.3</v>
      </c>
      <c r="L880" t="s">
        <v>2086</v>
      </c>
      <c r="M880" s="1">
        <v>0.87</v>
      </c>
    </row>
    <row r="881" spans="1:13" x14ac:dyDescent="0.3">
      <c r="A881" t="s">
        <v>1830</v>
      </c>
      <c r="B881" t="s">
        <v>2111</v>
      </c>
      <c r="C881" t="s">
        <v>73</v>
      </c>
      <c r="D881">
        <v>25</v>
      </c>
      <c r="E881" t="s">
        <v>108</v>
      </c>
      <c r="F881" t="s">
        <v>109</v>
      </c>
      <c r="G881" t="s">
        <v>42</v>
      </c>
      <c r="H881">
        <v>7</v>
      </c>
      <c r="I881" t="str" cm="1">
        <f t="array" ref="I881">_xlfn.IFS(H881&lt;=5, "0-5", H881&lt;=10, "6-10", H881&lt;=15, "11-15", H881&lt;=20, "16-20", H881&gt;20, "21+")</f>
        <v>6-10</v>
      </c>
      <c r="J881">
        <v>20</v>
      </c>
      <c r="K881">
        <v>2.1</v>
      </c>
      <c r="L881" t="s">
        <v>2085</v>
      </c>
    </row>
    <row r="882" spans="1:13" x14ac:dyDescent="0.3">
      <c r="A882" t="s">
        <v>1832</v>
      </c>
      <c r="B882" t="s">
        <v>1833</v>
      </c>
      <c r="C882" t="s">
        <v>93</v>
      </c>
      <c r="D882">
        <v>53</v>
      </c>
      <c r="E882" t="s">
        <v>40</v>
      </c>
      <c r="F882" t="s">
        <v>41</v>
      </c>
      <c r="G882" t="s">
        <v>34</v>
      </c>
      <c r="H882">
        <v>25</v>
      </c>
      <c r="I882" t="str" cm="1">
        <f t="array" ref="I882">_xlfn.IFS(H882&lt;=5, "0-5", H882&lt;=10, "6-10", H882&lt;=15, "11-15", H882&lt;=20, "16-20", H882&gt;20, "21+")</f>
        <v>21+</v>
      </c>
      <c r="J882">
        <v>50</v>
      </c>
      <c r="L882" t="s">
        <v>2086</v>
      </c>
    </row>
    <row r="883" spans="1:13" x14ac:dyDescent="0.3">
      <c r="A883" t="s">
        <v>1834</v>
      </c>
      <c r="B883" t="s">
        <v>1835</v>
      </c>
      <c r="C883" t="s">
        <v>73</v>
      </c>
      <c r="D883">
        <v>50</v>
      </c>
      <c r="E883" t="s">
        <v>134</v>
      </c>
      <c r="F883" t="s">
        <v>135</v>
      </c>
      <c r="G883" t="s">
        <v>22</v>
      </c>
      <c r="H883">
        <v>20</v>
      </c>
      <c r="I883" t="str" cm="1">
        <f t="array" ref="I883">_xlfn.IFS(H883&lt;=5, "0-5", H883&lt;=10, "6-10", H883&lt;=15, "11-15", H883&lt;=20, "16-20", H883&gt;20, "21+")</f>
        <v>16-20</v>
      </c>
      <c r="J883">
        <v>100</v>
      </c>
      <c r="K883">
        <v>2.9</v>
      </c>
      <c r="L883" t="s">
        <v>2086</v>
      </c>
      <c r="M883" s="1">
        <v>0.89</v>
      </c>
    </row>
    <row r="884" spans="1:13" x14ac:dyDescent="0.3">
      <c r="A884" t="s">
        <v>1836</v>
      </c>
      <c r="B884" t="s">
        <v>1837</v>
      </c>
      <c r="C884" t="s">
        <v>93</v>
      </c>
      <c r="D884">
        <v>45</v>
      </c>
      <c r="E884" t="s">
        <v>108</v>
      </c>
      <c r="F884" t="s">
        <v>109</v>
      </c>
      <c r="G884" t="s">
        <v>42</v>
      </c>
      <c r="H884">
        <v>8</v>
      </c>
      <c r="I884" t="str" cm="1">
        <f t="array" ref="I884">_xlfn.IFS(H884&lt;=5, "0-5", H884&lt;=10, "6-10", H884&lt;=15, "11-15", H884&lt;=20, "16-20", H884&gt;20, "21+")</f>
        <v>6-10</v>
      </c>
      <c r="J884">
        <v>20</v>
      </c>
      <c r="K884">
        <v>3.3</v>
      </c>
      <c r="L884" t="s">
        <v>2086</v>
      </c>
      <c r="M884" s="1">
        <v>0.93</v>
      </c>
    </row>
    <row r="885" spans="1:13" x14ac:dyDescent="0.3">
      <c r="A885" t="s">
        <v>1838</v>
      </c>
      <c r="B885" t="s">
        <v>1839</v>
      </c>
      <c r="C885" t="s">
        <v>73</v>
      </c>
      <c r="D885">
        <v>48</v>
      </c>
      <c r="E885" t="s">
        <v>123</v>
      </c>
      <c r="F885" t="s">
        <v>21</v>
      </c>
      <c r="G885" t="s">
        <v>74</v>
      </c>
      <c r="H885">
        <v>6</v>
      </c>
      <c r="I885" t="str" cm="1">
        <f t="array" ref="I885">_xlfn.IFS(H885&lt;=5, "0-5", H885&lt;=10, "6-10", H885&lt;=15, "11-15", H885&lt;=20, "16-20", H885&gt;20, "21+")</f>
        <v>6-10</v>
      </c>
      <c r="J885">
        <v>100</v>
      </c>
      <c r="K885">
        <v>4.8</v>
      </c>
      <c r="L885" t="s">
        <v>2086</v>
      </c>
      <c r="M885" s="1">
        <v>0.84</v>
      </c>
    </row>
    <row r="886" spans="1:13" x14ac:dyDescent="0.3">
      <c r="A886" t="s">
        <v>1840</v>
      </c>
      <c r="B886" t="s">
        <v>1841</v>
      </c>
      <c r="C886" t="s">
        <v>93</v>
      </c>
      <c r="D886">
        <v>30</v>
      </c>
      <c r="E886" t="s">
        <v>46</v>
      </c>
      <c r="F886" t="s">
        <v>47</v>
      </c>
      <c r="G886" t="s">
        <v>85</v>
      </c>
      <c r="H886">
        <v>3</v>
      </c>
      <c r="I886" t="str" cm="1">
        <f t="array" ref="I886">_xlfn.IFS(H886&lt;=5, "0-5", H886&lt;=10, "6-10", H886&lt;=15, "11-15", H886&lt;=20, "16-20", H886&gt;20, "21+")</f>
        <v>0-5</v>
      </c>
      <c r="J886">
        <v>100</v>
      </c>
      <c r="K886">
        <v>4.5</v>
      </c>
      <c r="M886" s="1">
        <v>0.78</v>
      </c>
    </row>
    <row r="887" spans="1:13" x14ac:dyDescent="0.3">
      <c r="A887" t="s">
        <v>1842</v>
      </c>
      <c r="B887" t="s">
        <v>560</v>
      </c>
      <c r="C887" t="s">
        <v>73</v>
      </c>
      <c r="D887">
        <v>33</v>
      </c>
      <c r="E887" t="s">
        <v>40</v>
      </c>
      <c r="F887" t="s">
        <v>41</v>
      </c>
      <c r="G887" t="s">
        <v>69</v>
      </c>
      <c r="H887">
        <v>18</v>
      </c>
      <c r="I887" t="str" cm="1">
        <f t="array" ref="I887">_xlfn.IFS(H887&lt;=5, "0-5", H887&lt;=10, "6-10", H887&lt;=15, "11-15", H887&lt;=20, "16-20", H887&gt;20, "21+")</f>
        <v>16-20</v>
      </c>
      <c r="J887">
        <v>50</v>
      </c>
      <c r="K887">
        <v>3.1</v>
      </c>
      <c r="L887" t="s">
        <v>2085</v>
      </c>
      <c r="M887" s="1">
        <v>0.9</v>
      </c>
    </row>
    <row r="888" spans="1:13" x14ac:dyDescent="0.3">
      <c r="A888" t="s">
        <v>1843</v>
      </c>
      <c r="B888" t="s">
        <v>1844</v>
      </c>
      <c r="C888" t="s">
        <v>73</v>
      </c>
      <c r="D888">
        <v>50</v>
      </c>
      <c r="E888" t="s">
        <v>63</v>
      </c>
      <c r="F888" t="s">
        <v>21</v>
      </c>
      <c r="G888" t="s">
        <v>85</v>
      </c>
      <c r="H888">
        <v>18</v>
      </c>
      <c r="I888" t="str" cm="1">
        <f t="array" ref="I888">_xlfn.IFS(H888&lt;=5, "0-5", H888&lt;=10, "6-10", H888&lt;=15, "11-15", H888&lt;=20, "16-20", H888&gt;20, "21+")</f>
        <v>16-20</v>
      </c>
      <c r="K888">
        <v>4.9000000000000004</v>
      </c>
      <c r="L888" t="s">
        <v>2086</v>
      </c>
      <c r="M888" s="1">
        <v>0.88</v>
      </c>
    </row>
    <row r="889" spans="1:13" x14ac:dyDescent="0.3">
      <c r="A889" t="s">
        <v>1845</v>
      </c>
      <c r="B889" t="s">
        <v>1846</v>
      </c>
      <c r="C889" t="s">
        <v>73</v>
      </c>
      <c r="D889">
        <v>24</v>
      </c>
      <c r="E889" t="s">
        <v>46</v>
      </c>
      <c r="F889" t="s">
        <v>47</v>
      </c>
      <c r="G889" t="s">
        <v>48</v>
      </c>
      <c r="H889">
        <v>3</v>
      </c>
      <c r="I889" t="str" cm="1">
        <f t="array" ref="I889">_xlfn.IFS(H889&lt;=5, "0-5", H889&lt;=10, "6-10", H889&lt;=15, "11-15", H889&lt;=20, "16-20", H889&gt;20, "21+")</f>
        <v>0-5</v>
      </c>
      <c r="J889">
        <v>20</v>
      </c>
      <c r="K889">
        <v>0</v>
      </c>
      <c r="L889" t="s">
        <v>2085</v>
      </c>
      <c r="M889" s="1">
        <v>0.76</v>
      </c>
    </row>
    <row r="890" spans="1:13" x14ac:dyDescent="0.3">
      <c r="A890" t="s">
        <v>1847</v>
      </c>
      <c r="B890" t="s">
        <v>1848</v>
      </c>
      <c r="C890" t="s">
        <v>93</v>
      </c>
      <c r="D890">
        <v>38</v>
      </c>
      <c r="E890" t="s">
        <v>14</v>
      </c>
      <c r="F890" t="s">
        <v>15</v>
      </c>
      <c r="G890" t="s">
        <v>34</v>
      </c>
      <c r="H890">
        <v>32</v>
      </c>
      <c r="I890" t="str" cm="1">
        <f t="array" ref="I890">_xlfn.IFS(H890&lt;=5, "0-5", H890&lt;=10, "6-10", H890&lt;=15, "11-15", H890&lt;=20, "16-20", H890&gt;20, "21+")</f>
        <v>21+</v>
      </c>
      <c r="J890">
        <v>75</v>
      </c>
      <c r="K890">
        <v>1.5</v>
      </c>
      <c r="L890" t="s">
        <v>2085</v>
      </c>
      <c r="M890" s="1">
        <v>0.62</v>
      </c>
    </row>
    <row r="891" spans="1:13" x14ac:dyDescent="0.3">
      <c r="A891" t="s">
        <v>1849</v>
      </c>
      <c r="B891" t="s">
        <v>1850</v>
      </c>
      <c r="C891" t="s">
        <v>93</v>
      </c>
      <c r="D891">
        <v>56</v>
      </c>
      <c r="E891" t="s">
        <v>81</v>
      </c>
      <c r="F891" t="s">
        <v>82</v>
      </c>
      <c r="G891" t="s">
        <v>85</v>
      </c>
      <c r="H891">
        <v>19</v>
      </c>
      <c r="I891" t="str" cm="1">
        <f t="array" ref="I891">_xlfn.IFS(H891&lt;=5, "0-5", H891&lt;=10, "6-10", H891&lt;=15, "11-15", H891&lt;=20, "16-20", H891&gt;20, "21+")</f>
        <v>16-20</v>
      </c>
      <c r="J891">
        <v>75</v>
      </c>
      <c r="K891">
        <v>2.4</v>
      </c>
      <c r="L891" t="s">
        <v>2085</v>
      </c>
    </row>
    <row r="892" spans="1:13" x14ac:dyDescent="0.3">
      <c r="A892" t="s">
        <v>1851</v>
      </c>
      <c r="B892" t="s">
        <v>1852</v>
      </c>
      <c r="C892" t="s">
        <v>73</v>
      </c>
      <c r="D892">
        <v>41</v>
      </c>
      <c r="E892" t="s">
        <v>119</v>
      </c>
      <c r="F892" t="s">
        <v>120</v>
      </c>
      <c r="G892" t="s">
        <v>85</v>
      </c>
      <c r="H892">
        <v>2</v>
      </c>
      <c r="I892" t="str" cm="1">
        <f t="array" ref="I892">_xlfn.IFS(H892&lt;=5, "0-5", H892&lt;=10, "6-10", H892&lt;=15, "11-15", H892&lt;=20, "16-20", H892&gt;20, "21+")</f>
        <v>0-5</v>
      </c>
      <c r="J892">
        <v>100</v>
      </c>
      <c r="K892">
        <v>4.5</v>
      </c>
      <c r="L892" t="s">
        <v>2085</v>
      </c>
      <c r="M892" s="1">
        <v>0.75</v>
      </c>
    </row>
    <row r="893" spans="1:13" x14ac:dyDescent="0.3">
      <c r="A893" t="s">
        <v>1853</v>
      </c>
      <c r="B893" t="s">
        <v>1854</v>
      </c>
      <c r="C893" t="s">
        <v>93</v>
      </c>
      <c r="E893" t="s">
        <v>14</v>
      </c>
      <c r="F893" t="s">
        <v>15</v>
      </c>
      <c r="G893" t="s">
        <v>69</v>
      </c>
      <c r="H893">
        <v>0</v>
      </c>
      <c r="I893" t="str" cm="1">
        <f t="array" ref="I893">_xlfn.IFS(H893&lt;=5, "0-5", H893&lt;=10, "6-10", H893&lt;=15, "11-15", H893&lt;=20, "16-20", H893&gt;20, "21+")</f>
        <v>0-5</v>
      </c>
      <c r="J893">
        <v>100</v>
      </c>
      <c r="K893">
        <v>2.5</v>
      </c>
      <c r="L893" t="s">
        <v>2086</v>
      </c>
      <c r="M893" s="1">
        <v>0.8</v>
      </c>
    </row>
    <row r="894" spans="1:13" x14ac:dyDescent="0.3">
      <c r="A894" t="s">
        <v>1855</v>
      </c>
      <c r="B894" t="s">
        <v>1856</v>
      </c>
      <c r="C894" t="s">
        <v>73</v>
      </c>
      <c r="D894">
        <v>42</v>
      </c>
      <c r="E894" t="s">
        <v>27</v>
      </c>
      <c r="F894" t="s">
        <v>28</v>
      </c>
      <c r="G894" t="s">
        <v>29</v>
      </c>
      <c r="H894">
        <v>13</v>
      </c>
      <c r="I894" t="str" cm="1">
        <f t="array" ref="I894">_xlfn.IFS(H894&lt;=5, "0-5", H894&lt;=10, "6-10", H894&lt;=15, "11-15", H894&lt;=20, "16-20", H894&gt;20, "21+")</f>
        <v>11-15</v>
      </c>
      <c r="J894">
        <v>30</v>
      </c>
      <c r="K894">
        <v>3.3</v>
      </c>
      <c r="M894" s="1">
        <v>0.63</v>
      </c>
    </row>
    <row r="895" spans="1:13" x14ac:dyDescent="0.3">
      <c r="A895" t="s">
        <v>1857</v>
      </c>
      <c r="B895" t="s">
        <v>1858</v>
      </c>
      <c r="C895" t="s">
        <v>93</v>
      </c>
      <c r="D895">
        <v>26</v>
      </c>
      <c r="E895" t="s">
        <v>89</v>
      </c>
      <c r="F895" t="s">
        <v>90</v>
      </c>
      <c r="G895" t="s">
        <v>16</v>
      </c>
      <c r="H895">
        <v>2</v>
      </c>
      <c r="I895" t="str" cm="1">
        <f t="array" ref="I895">_xlfn.IFS(H895&lt;=5, "0-5", H895&lt;=10, "6-10", H895&lt;=15, "11-15", H895&lt;=20, "16-20", H895&gt;20, "21+")</f>
        <v>0-5</v>
      </c>
      <c r="J895">
        <v>75</v>
      </c>
      <c r="K895">
        <v>3</v>
      </c>
      <c r="M895" s="1">
        <v>0.84</v>
      </c>
    </row>
    <row r="896" spans="1:13" x14ac:dyDescent="0.3">
      <c r="A896" t="s">
        <v>1859</v>
      </c>
      <c r="B896" t="s">
        <v>1860</v>
      </c>
      <c r="C896" t="s">
        <v>73</v>
      </c>
      <c r="D896">
        <v>44</v>
      </c>
      <c r="E896" t="s">
        <v>123</v>
      </c>
      <c r="F896" t="s">
        <v>21</v>
      </c>
      <c r="G896" t="s">
        <v>74</v>
      </c>
      <c r="H896">
        <v>11</v>
      </c>
      <c r="I896" t="str" cm="1">
        <f t="array" ref="I896">_xlfn.IFS(H896&lt;=5, "0-5", H896&lt;=10, "6-10", H896&lt;=15, "11-15", H896&lt;=20, "16-20", H896&gt;20, "21+")</f>
        <v>11-15</v>
      </c>
      <c r="J896">
        <v>75</v>
      </c>
      <c r="K896">
        <v>2.7</v>
      </c>
      <c r="L896" t="s">
        <v>2086</v>
      </c>
      <c r="M896" s="1">
        <v>0.78</v>
      </c>
    </row>
    <row r="897" spans="1:13" x14ac:dyDescent="0.3">
      <c r="A897" t="s">
        <v>1861</v>
      </c>
      <c r="B897" t="s">
        <v>1862</v>
      </c>
      <c r="C897" t="s">
        <v>93</v>
      </c>
      <c r="D897">
        <v>46</v>
      </c>
      <c r="E897" t="s">
        <v>123</v>
      </c>
      <c r="F897" t="s">
        <v>21</v>
      </c>
      <c r="G897" t="s">
        <v>29</v>
      </c>
      <c r="H897">
        <v>17</v>
      </c>
      <c r="I897" t="str" cm="1">
        <f t="array" ref="I897">_xlfn.IFS(H897&lt;=5, "0-5", H897&lt;=10, "6-10", H897&lt;=15, "11-15", H897&lt;=20, "16-20", H897&gt;20, "21+")</f>
        <v>16-20</v>
      </c>
      <c r="J897">
        <v>20</v>
      </c>
      <c r="K897">
        <v>1.2</v>
      </c>
      <c r="L897" t="s">
        <v>2085</v>
      </c>
      <c r="M897" s="1">
        <v>0.74</v>
      </c>
    </row>
    <row r="898" spans="1:13" x14ac:dyDescent="0.3">
      <c r="A898" t="s">
        <v>1863</v>
      </c>
      <c r="B898" t="s">
        <v>1864</v>
      </c>
      <c r="C898" t="s">
        <v>73</v>
      </c>
      <c r="D898">
        <v>36</v>
      </c>
      <c r="E898" t="s">
        <v>55</v>
      </c>
      <c r="F898" t="s">
        <v>21</v>
      </c>
      <c r="G898" t="s">
        <v>69</v>
      </c>
      <c r="H898">
        <v>10</v>
      </c>
      <c r="I898" t="str" cm="1">
        <f t="array" ref="I898">_xlfn.IFS(H898&lt;=5, "0-5", H898&lt;=10, "6-10", H898&lt;=15, "11-15", H898&lt;=20, "16-20", H898&gt;20, "21+")</f>
        <v>6-10</v>
      </c>
      <c r="J898">
        <v>50</v>
      </c>
      <c r="K898">
        <v>4.3</v>
      </c>
      <c r="L898" t="s">
        <v>2085</v>
      </c>
      <c r="M898" s="1">
        <v>0.9</v>
      </c>
    </row>
    <row r="899" spans="1:13" x14ac:dyDescent="0.3">
      <c r="A899" t="s">
        <v>1865</v>
      </c>
      <c r="B899" t="s">
        <v>1866</v>
      </c>
      <c r="C899" t="s">
        <v>93</v>
      </c>
      <c r="D899">
        <v>26</v>
      </c>
      <c r="E899" t="s">
        <v>40</v>
      </c>
      <c r="F899" t="s">
        <v>41</v>
      </c>
      <c r="G899" t="s">
        <v>42</v>
      </c>
      <c r="H899">
        <v>26</v>
      </c>
      <c r="I899" t="str" cm="1">
        <f t="array" ref="I899">_xlfn.IFS(H899&lt;=5, "0-5", H899&lt;=10, "6-10", H899&lt;=15, "11-15", H899&lt;=20, "16-20", H899&gt;20, "21+")</f>
        <v>21+</v>
      </c>
      <c r="J899">
        <v>40</v>
      </c>
      <c r="K899">
        <v>1.3</v>
      </c>
      <c r="L899" t="s">
        <v>2085</v>
      </c>
    </row>
    <row r="900" spans="1:13" x14ac:dyDescent="0.3">
      <c r="A900" t="s">
        <v>1867</v>
      </c>
      <c r="B900" t="s">
        <v>1868</v>
      </c>
      <c r="C900" t="s">
        <v>93</v>
      </c>
      <c r="D900">
        <v>21</v>
      </c>
      <c r="E900" t="s">
        <v>27</v>
      </c>
      <c r="F900" t="s">
        <v>28</v>
      </c>
      <c r="G900" t="s">
        <v>69</v>
      </c>
      <c r="I900" t="str" cm="1">
        <f t="array" ref="I900">_xlfn.IFS(H900&lt;=5, "0-5", H900&lt;=10, "6-10", H900&lt;=15, "11-15", H900&lt;=20, "16-20", H900&gt;20, "21+")</f>
        <v>0-5</v>
      </c>
      <c r="J900">
        <v>50</v>
      </c>
      <c r="K900">
        <v>4.5999999999999996</v>
      </c>
      <c r="L900" t="s">
        <v>2086</v>
      </c>
    </row>
    <row r="901" spans="1:13" x14ac:dyDescent="0.3">
      <c r="A901" t="s">
        <v>1869</v>
      </c>
      <c r="B901" t="s">
        <v>1870</v>
      </c>
      <c r="C901" t="s">
        <v>73</v>
      </c>
      <c r="D901">
        <v>39</v>
      </c>
      <c r="E901" t="s">
        <v>46</v>
      </c>
      <c r="F901" t="s">
        <v>47</v>
      </c>
      <c r="G901" t="s">
        <v>69</v>
      </c>
      <c r="H901">
        <v>8</v>
      </c>
      <c r="I901" t="str" cm="1">
        <f t="array" ref="I901">_xlfn.IFS(H901&lt;=5, "0-5", H901&lt;=10, "6-10", H901&lt;=15, "11-15", H901&lt;=20, "16-20", H901&gt;20, "21+")</f>
        <v>6-10</v>
      </c>
      <c r="J901">
        <v>50</v>
      </c>
      <c r="K901">
        <v>2.1</v>
      </c>
      <c r="L901" t="s">
        <v>2085</v>
      </c>
      <c r="M901" s="1">
        <v>0.75</v>
      </c>
    </row>
    <row r="902" spans="1:13" x14ac:dyDescent="0.3">
      <c r="A902" t="s">
        <v>1871</v>
      </c>
      <c r="B902" t="s">
        <v>1872</v>
      </c>
      <c r="C902" t="s">
        <v>73</v>
      </c>
      <c r="D902">
        <v>37</v>
      </c>
      <c r="E902" t="s">
        <v>55</v>
      </c>
      <c r="F902" t="s">
        <v>21</v>
      </c>
      <c r="G902" t="s">
        <v>16</v>
      </c>
      <c r="H902">
        <v>22</v>
      </c>
      <c r="I902" t="str" cm="1">
        <f t="array" ref="I902">_xlfn.IFS(H902&lt;=5, "0-5", H902&lt;=10, "6-10", H902&lt;=15, "11-15", H902&lt;=20, "16-20", H902&gt;20, "21+")</f>
        <v>21+</v>
      </c>
      <c r="J902">
        <v>40</v>
      </c>
      <c r="K902">
        <v>4.5</v>
      </c>
      <c r="L902" t="s">
        <v>2085</v>
      </c>
      <c r="M902" s="1">
        <v>0.72</v>
      </c>
    </row>
    <row r="903" spans="1:13" x14ac:dyDescent="0.3">
      <c r="A903" t="s">
        <v>1873</v>
      </c>
      <c r="B903" t="s">
        <v>1874</v>
      </c>
      <c r="C903" t="s">
        <v>73</v>
      </c>
      <c r="D903">
        <v>47</v>
      </c>
      <c r="E903" t="s">
        <v>119</v>
      </c>
      <c r="F903" t="s">
        <v>120</v>
      </c>
      <c r="G903" t="s">
        <v>69</v>
      </c>
      <c r="H903">
        <v>8</v>
      </c>
      <c r="I903" t="str" cm="1">
        <f t="array" ref="I903">_xlfn.IFS(H903&lt;=5, "0-5", H903&lt;=10, "6-10", H903&lt;=15, "11-15", H903&lt;=20, "16-20", H903&gt;20, "21+")</f>
        <v>6-10</v>
      </c>
      <c r="J903">
        <v>40</v>
      </c>
      <c r="K903">
        <v>4.4000000000000004</v>
      </c>
      <c r="L903" t="s">
        <v>2086</v>
      </c>
      <c r="M903" s="1">
        <v>0.92</v>
      </c>
    </row>
    <row r="904" spans="1:13" x14ac:dyDescent="0.3">
      <c r="A904" t="s">
        <v>1875</v>
      </c>
      <c r="B904" t="s">
        <v>1876</v>
      </c>
      <c r="C904" t="s">
        <v>73</v>
      </c>
      <c r="D904">
        <v>53</v>
      </c>
      <c r="E904" t="s">
        <v>119</v>
      </c>
      <c r="F904" t="s">
        <v>120</v>
      </c>
      <c r="G904" t="s">
        <v>29</v>
      </c>
      <c r="H904">
        <v>22</v>
      </c>
      <c r="I904" t="str" cm="1">
        <f t="array" ref="I904">_xlfn.IFS(H904&lt;=5, "0-5", H904&lt;=10, "6-10", H904&lt;=15, "11-15", H904&lt;=20, "16-20", H904&gt;20, "21+")</f>
        <v>21+</v>
      </c>
      <c r="J904">
        <v>20</v>
      </c>
      <c r="K904">
        <v>0</v>
      </c>
      <c r="L904" t="s">
        <v>2085</v>
      </c>
    </row>
    <row r="905" spans="1:13" x14ac:dyDescent="0.3">
      <c r="A905" t="s">
        <v>1877</v>
      </c>
      <c r="B905" t="s">
        <v>1878</v>
      </c>
      <c r="C905" t="s">
        <v>73</v>
      </c>
      <c r="D905">
        <v>53</v>
      </c>
      <c r="E905" t="s">
        <v>67</v>
      </c>
      <c r="F905" t="s">
        <v>68</v>
      </c>
      <c r="G905" t="s">
        <v>22</v>
      </c>
      <c r="H905">
        <v>14</v>
      </c>
      <c r="I905" t="str" cm="1">
        <f t="array" ref="I905">_xlfn.IFS(H905&lt;=5, "0-5", H905&lt;=10, "6-10", H905&lt;=15, "11-15", H905&lt;=20, "16-20", H905&gt;20, "21+")</f>
        <v>11-15</v>
      </c>
      <c r="J905">
        <v>20</v>
      </c>
      <c r="K905">
        <v>1.3</v>
      </c>
      <c r="L905" t="s">
        <v>2085</v>
      </c>
    </row>
    <row r="906" spans="1:13" x14ac:dyDescent="0.3">
      <c r="A906" t="s">
        <v>1879</v>
      </c>
      <c r="B906" t="s">
        <v>1880</v>
      </c>
      <c r="C906" t="s">
        <v>93</v>
      </c>
      <c r="D906">
        <v>21</v>
      </c>
      <c r="E906" t="s">
        <v>89</v>
      </c>
      <c r="F906" t="s">
        <v>90</v>
      </c>
      <c r="G906" t="s">
        <v>48</v>
      </c>
      <c r="H906">
        <v>6</v>
      </c>
      <c r="I906" t="str" cm="1">
        <f t="array" ref="I906">_xlfn.IFS(H906&lt;=5, "0-5", H906&lt;=10, "6-10", H906&lt;=15, "11-15", H906&lt;=20, "16-20", H906&gt;20, "21+")</f>
        <v>6-10</v>
      </c>
      <c r="J906">
        <v>50</v>
      </c>
      <c r="K906">
        <v>2.6</v>
      </c>
      <c r="L906" t="s">
        <v>2085</v>
      </c>
      <c r="M906" s="1">
        <v>0.86</v>
      </c>
    </row>
    <row r="907" spans="1:13" x14ac:dyDescent="0.3">
      <c r="A907" t="s">
        <v>1881</v>
      </c>
      <c r="B907" t="s">
        <v>1882</v>
      </c>
      <c r="C907" t="s">
        <v>73</v>
      </c>
      <c r="D907">
        <v>35</v>
      </c>
      <c r="E907" t="s">
        <v>63</v>
      </c>
      <c r="F907" t="s">
        <v>21</v>
      </c>
      <c r="G907" t="s">
        <v>16</v>
      </c>
      <c r="H907">
        <v>14</v>
      </c>
      <c r="I907" t="str" cm="1">
        <f t="array" ref="I907">_xlfn.IFS(H907&lt;=5, "0-5", H907&lt;=10, "6-10", H907&lt;=15, "11-15", H907&lt;=20, "16-20", H907&gt;20, "21+")</f>
        <v>11-15</v>
      </c>
      <c r="L907" t="s">
        <v>2086</v>
      </c>
      <c r="M907" s="1">
        <v>0.85</v>
      </c>
    </row>
    <row r="908" spans="1:13" x14ac:dyDescent="0.3">
      <c r="A908" t="s">
        <v>1883</v>
      </c>
      <c r="B908" t="s">
        <v>1884</v>
      </c>
      <c r="C908" t="s">
        <v>93</v>
      </c>
      <c r="D908">
        <v>31</v>
      </c>
      <c r="E908" t="s">
        <v>67</v>
      </c>
      <c r="F908" t="s">
        <v>68</v>
      </c>
      <c r="G908" t="s">
        <v>110</v>
      </c>
      <c r="H908">
        <v>2</v>
      </c>
      <c r="I908" t="str" cm="1">
        <f t="array" ref="I908">_xlfn.IFS(H908&lt;=5, "0-5", H908&lt;=10, "6-10", H908&lt;=15, "11-15", H908&lt;=20, "16-20", H908&gt;20, "21+")</f>
        <v>0-5</v>
      </c>
      <c r="J908">
        <v>40</v>
      </c>
      <c r="K908">
        <v>1.2</v>
      </c>
      <c r="L908" t="s">
        <v>2085</v>
      </c>
      <c r="M908" s="1">
        <v>0.62</v>
      </c>
    </row>
    <row r="909" spans="1:13" x14ac:dyDescent="0.3">
      <c r="A909" t="s">
        <v>1885</v>
      </c>
      <c r="B909" t="s">
        <v>1886</v>
      </c>
      <c r="C909" t="s">
        <v>73</v>
      </c>
      <c r="D909">
        <v>55</v>
      </c>
      <c r="E909" t="s">
        <v>108</v>
      </c>
      <c r="F909" t="s">
        <v>109</v>
      </c>
      <c r="G909" t="s">
        <v>42</v>
      </c>
      <c r="H909">
        <v>4</v>
      </c>
      <c r="I909" t="str" cm="1">
        <f t="array" ref="I909">_xlfn.IFS(H909&lt;=5, "0-5", H909&lt;=10, "6-10", H909&lt;=15, "11-15", H909&lt;=20, "16-20", H909&gt;20, "21+")</f>
        <v>0-5</v>
      </c>
      <c r="J909">
        <v>30</v>
      </c>
      <c r="K909">
        <v>3.1</v>
      </c>
      <c r="L909" t="s">
        <v>2086</v>
      </c>
      <c r="M909" s="1">
        <v>0.91</v>
      </c>
    </row>
    <row r="910" spans="1:13" x14ac:dyDescent="0.3">
      <c r="A910" t="s">
        <v>1887</v>
      </c>
      <c r="B910" t="s">
        <v>1888</v>
      </c>
      <c r="C910" t="s">
        <v>73</v>
      </c>
      <c r="D910">
        <v>59</v>
      </c>
      <c r="E910" t="s">
        <v>59</v>
      </c>
      <c r="F910" t="s">
        <v>60</v>
      </c>
      <c r="G910" t="s">
        <v>34</v>
      </c>
      <c r="H910">
        <v>24</v>
      </c>
      <c r="I910" t="str" cm="1">
        <f t="array" ref="I910">_xlfn.IFS(H910&lt;=5, "0-5", H910&lt;=10, "6-10", H910&lt;=15, "11-15", H910&lt;=20, "16-20", H910&gt;20, "21+")</f>
        <v>21+</v>
      </c>
      <c r="J910">
        <v>75</v>
      </c>
      <c r="K910">
        <v>2.2999999999999998</v>
      </c>
      <c r="L910" t="s">
        <v>2086</v>
      </c>
      <c r="M910" s="1">
        <v>0.8</v>
      </c>
    </row>
    <row r="911" spans="1:13" x14ac:dyDescent="0.3">
      <c r="A911" t="s">
        <v>1889</v>
      </c>
      <c r="B911" t="s">
        <v>1890</v>
      </c>
      <c r="C911" t="s">
        <v>93</v>
      </c>
      <c r="D911">
        <v>59</v>
      </c>
      <c r="E911" t="s">
        <v>130</v>
      </c>
      <c r="F911" t="s">
        <v>131</v>
      </c>
      <c r="G911" t="s">
        <v>74</v>
      </c>
      <c r="H911">
        <v>29</v>
      </c>
      <c r="I911" t="str" cm="1">
        <f t="array" ref="I911">_xlfn.IFS(H911&lt;=5, "0-5", H911&lt;=10, "6-10", H911&lt;=15, "11-15", H911&lt;=20, "16-20", H911&gt;20, "21+")</f>
        <v>21+</v>
      </c>
      <c r="J911">
        <v>100</v>
      </c>
      <c r="K911">
        <v>4</v>
      </c>
      <c r="L911" t="s">
        <v>2085</v>
      </c>
      <c r="M911" s="1">
        <v>0.72</v>
      </c>
    </row>
    <row r="912" spans="1:13" x14ac:dyDescent="0.3">
      <c r="A912" t="s">
        <v>1891</v>
      </c>
      <c r="B912" t="s">
        <v>1892</v>
      </c>
      <c r="C912" t="s">
        <v>93</v>
      </c>
      <c r="D912">
        <v>47</v>
      </c>
      <c r="E912" t="s">
        <v>89</v>
      </c>
      <c r="F912" t="s">
        <v>90</v>
      </c>
      <c r="G912" t="s">
        <v>16</v>
      </c>
      <c r="H912">
        <v>13</v>
      </c>
      <c r="I912" t="str" cm="1">
        <f t="array" ref="I912">_xlfn.IFS(H912&lt;=5, "0-5", H912&lt;=10, "6-10", H912&lt;=15, "11-15", H912&lt;=20, "16-20", H912&gt;20, "21+")</f>
        <v>11-15</v>
      </c>
      <c r="J912">
        <v>75</v>
      </c>
      <c r="K912">
        <v>1.9</v>
      </c>
    </row>
    <row r="913" spans="1:13" x14ac:dyDescent="0.3">
      <c r="A913" t="s">
        <v>1893</v>
      </c>
      <c r="B913" t="s">
        <v>1894</v>
      </c>
      <c r="C913" t="s">
        <v>73</v>
      </c>
      <c r="D913">
        <v>53</v>
      </c>
      <c r="E913" t="s">
        <v>148</v>
      </c>
      <c r="F913" t="s">
        <v>149</v>
      </c>
      <c r="G913" t="s">
        <v>110</v>
      </c>
      <c r="H913">
        <v>1</v>
      </c>
      <c r="I913" t="str" cm="1">
        <f t="array" ref="I913">_xlfn.IFS(H913&lt;=5, "0-5", H913&lt;=10, "6-10", H913&lt;=15, "11-15", H913&lt;=20, "16-20", H913&gt;20, "21+")</f>
        <v>0-5</v>
      </c>
      <c r="J913">
        <v>75</v>
      </c>
      <c r="K913">
        <v>2.4</v>
      </c>
      <c r="L913" t="s">
        <v>2086</v>
      </c>
    </row>
    <row r="914" spans="1:13" x14ac:dyDescent="0.3">
      <c r="A914" t="s">
        <v>1895</v>
      </c>
      <c r="B914" t="s">
        <v>512</v>
      </c>
      <c r="C914" t="s">
        <v>93</v>
      </c>
      <c r="D914">
        <v>49</v>
      </c>
      <c r="E914" t="s">
        <v>148</v>
      </c>
      <c r="F914" t="s">
        <v>149</v>
      </c>
      <c r="G914" t="s">
        <v>48</v>
      </c>
      <c r="I914" t="str" cm="1">
        <f t="array" ref="I914">_xlfn.IFS(H914&lt;=5, "0-5", H914&lt;=10, "6-10", H914&lt;=15, "11-15", H914&lt;=20, "16-20", H914&gt;20, "21+")</f>
        <v>0-5</v>
      </c>
      <c r="J914">
        <v>30</v>
      </c>
      <c r="L914" t="s">
        <v>2086</v>
      </c>
      <c r="M914" s="1">
        <v>0.74</v>
      </c>
    </row>
    <row r="915" spans="1:13" x14ac:dyDescent="0.3">
      <c r="A915" t="s">
        <v>1896</v>
      </c>
      <c r="B915" t="s">
        <v>1897</v>
      </c>
      <c r="C915" t="s">
        <v>73</v>
      </c>
      <c r="D915">
        <v>50</v>
      </c>
      <c r="E915" t="s">
        <v>148</v>
      </c>
      <c r="F915" t="s">
        <v>149</v>
      </c>
      <c r="G915" t="s">
        <v>22</v>
      </c>
      <c r="H915">
        <v>15</v>
      </c>
      <c r="I915" t="str" cm="1">
        <f t="array" ref="I915">_xlfn.IFS(H915&lt;=5, "0-5", H915&lt;=10, "6-10", H915&lt;=15, "11-15", H915&lt;=20, "16-20", H915&gt;20, "21+")</f>
        <v>11-15</v>
      </c>
      <c r="J915">
        <v>50</v>
      </c>
      <c r="K915">
        <v>3.7</v>
      </c>
      <c r="L915" t="s">
        <v>2086</v>
      </c>
      <c r="M915" s="1">
        <v>0.82</v>
      </c>
    </row>
    <row r="916" spans="1:13" x14ac:dyDescent="0.3">
      <c r="A916" t="s">
        <v>1898</v>
      </c>
      <c r="B916" t="s">
        <v>1899</v>
      </c>
      <c r="C916" t="s">
        <v>73</v>
      </c>
      <c r="D916">
        <v>59</v>
      </c>
      <c r="E916" t="s">
        <v>108</v>
      </c>
      <c r="F916" t="s">
        <v>109</v>
      </c>
      <c r="G916" t="s">
        <v>110</v>
      </c>
      <c r="H916">
        <v>2</v>
      </c>
      <c r="I916" t="str" cm="1">
        <f t="array" ref="I916">_xlfn.IFS(H916&lt;=5, "0-5", H916&lt;=10, "6-10", H916&lt;=15, "11-15", H916&lt;=20, "16-20", H916&gt;20, "21+")</f>
        <v>0-5</v>
      </c>
      <c r="J916">
        <v>100</v>
      </c>
      <c r="K916">
        <v>1.1000000000000001</v>
      </c>
      <c r="L916" t="s">
        <v>2085</v>
      </c>
      <c r="M916" s="1">
        <v>0.85</v>
      </c>
    </row>
    <row r="917" spans="1:13" x14ac:dyDescent="0.3">
      <c r="A917" t="s">
        <v>1900</v>
      </c>
      <c r="B917" t="s">
        <v>1901</v>
      </c>
      <c r="C917" t="s">
        <v>93</v>
      </c>
      <c r="D917">
        <v>33</v>
      </c>
      <c r="E917" t="s">
        <v>59</v>
      </c>
      <c r="F917" t="s">
        <v>60</v>
      </c>
      <c r="G917" t="s">
        <v>48</v>
      </c>
      <c r="H917">
        <v>14</v>
      </c>
      <c r="I917" t="str" cm="1">
        <f t="array" ref="I917">_xlfn.IFS(H917&lt;=5, "0-5", H917&lt;=10, "6-10", H917&lt;=15, "11-15", H917&lt;=20, "16-20", H917&gt;20, "21+")</f>
        <v>11-15</v>
      </c>
      <c r="J917">
        <v>75</v>
      </c>
      <c r="K917">
        <v>2.2999999999999998</v>
      </c>
      <c r="L917" t="s">
        <v>2086</v>
      </c>
      <c r="M917" s="1">
        <v>0.68</v>
      </c>
    </row>
    <row r="918" spans="1:13" x14ac:dyDescent="0.3">
      <c r="A918" t="s">
        <v>1902</v>
      </c>
      <c r="B918" t="s">
        <v>1903</v>
      </c>
      <c r="C918" t="s">
        <v>73</v>
      </c>
      <c r="D918">
        <v>45</v>
      </c>
      <c r="E918" t="s">
        <v>123</v>
      </c>
      <c r="F918" t="s">
        <v>21</v>
      </c>
      <c r="G918" t="s">
        <v>34</v>
      </c>
      <c r="H918">
        <v>0</v>
      </c>
      <c r="I918" t="str" cm="1">
        <f t="array" ref="I918">_xlfn.IFS(H918&lt;=5, "0-5", H918&lt;=10, "6-10", H918&lt;=15, "11-15", H918&lt;=20, "16-20", H918&gt;20, "21+")</f>
        <v>0-5</v>
      </c>
      <c r="J918">
        <v>40</v>
      </c>
      <c r="K918">
        <v>3.7</v>
      </c>
      <c r="L918" t="s">
        <v>2086</v>
      </c>
      <c r="M918" s="1">
        <v>0.99</v>
      </c>
    </row>
    <row r="919" spans="1:13" x14ac:dyDescent="0.3">
      <c r="A919" t="s">
        <v>1904</v>
      </c>
      <c r="B919" t="s">
        <v>1905</v>
      </c>
      <c r="C919" t="s">
        <v>73</v>
      </c>
      <c r="D919">
        <v>36</v>
      </c>
      <c r="E919" t="s">
        <v>14</v>
      </c>
      <c r="F919" t="s">
        <v>15</v>
      </c>
      <c r="G919" t="s">
        <v>29</v>
      </c>
      <c r="H919">
        <v>15</v>
      </c>
      <c r="I919" t="str" cm="1">
        <f t="array" ref="I919">_xlfn.IFS(H919&lt;=5, "0-5", H919&lt;=10, "6-10", H919&lt;=15, "11-15", H919&lt;=20, "16-20", H919&gt;20, "21+")</f>
        <v>11-15</v>
      </c>
      <c r="J919">
        <v>30</v>
      </c>
      <c r="K919">
        <v>1.9</v>
      </c>
      <c r="L919" t="s">
        <v>2085</v>
      </c>
      <c r="M919" s="1">
        <v>0.62</v>
      </c>
    </row>
    <row r="920" spans="1:13" x14ac:dyDescent="0.3">
      <c r="A920" t="s">
        <v>1906</v>
      </c>
      <c r="B920" t="s">
        <v>1907</v>
      </c>
      <c r="C920" t="s">
        <v>93</v>
      </c>
      <c r="D920">
        <v>46</v>
      </c>
      <c r="E920" t="s">
        <v>148</v>
      </c>
      <c r="F920" t="s">
        <v>149</v>
      </c>
      <c r="G920" t="s">
        <v>69</v>
      </c>
      <c r="H920">
        <v>6</v>
      </c>
      <c r="I920" t="str" cm="1">
        <f t="array" ref="I920">_xlfn.IFS(H920&lt;=5, "0-5", H920&lt;=10, "6-10", H920&lt;=15, "11-15", H920&lt;=20, "16-20", H920&gt;20, "21+")</f>
        <v>6-10</v>
      </c>
      <c r="J920">
        <v>30</v>
      </c>
      <c r="K920">
        <v>1.5</v>
      </c>
      <c r="L920" t="s">
        <v>2085</v>
      </c>
    </row>
    <row r="921" spans="1:13" x14ac:dyDescent="0.3">
      <c r="A921" t="s">
        <v>1908</v>
      </c>
      <c r="B921" t="s">
        <v>1909</v>
      </c>
      <c r="C921" t="s">
        <v>73</v>
      </c>
      <c r="D921">
        <v>53</v>
      </c>
      <c r="E921" t="s">
        <v>59</v>
      </c>
      <c r="F921" t="s">
        <v>60</v>
      </c>
      <c r="G921" t="s">
        <v>29</v>
      </c>
      <c r="H921">
        <v>11</v>
      </c>
      <c r="I921" t="str" cm="1">
        <f t="array" ref="I921">_xlfn.IFS(H921&lt;=5, "0-5", H921&lt;=10, "6-10", H921&lt;=15, "11-15", H921&lt;=20, "16-20", H921&gt;20, "21+")</f>
        <v>11-15</v>
      </c>
      <c r="J921">
        <v>30</v>
      </c>
      <c r="K921">
        <v>0</v>
      </c>
      <c r="L921" t="s">
        <v>2085</v>
      </c>
      <c r="M921" s="1">
        <v>0.83</v>
      </c>
    </row>
    <row r="922" spans="1:13" x14ac:dyDescent="0.3">
      <c r="A922" t="s">
        <v>1910</v>
      </c>
      <c r="B922" t="s">
        <v>1911</v>
      </c>
      <c r="C922" t="s">
        <v>73</v>
      </c>
      <c r="D922">
        <v>24</v>
      </c>
      <c r="E922" t="s">
        <v>55</v>
      </c>
      <c r="F922" t="s">
        <v>21</v>
      </c>
      <c r="G922" t="s">
        <v>34</v>
      </c>
      <c r="H922">
        <v>8</v>
      </c>
      <c r="I922" t="str" cm="1">
        <f t="array" ref="I922">_xlfn.IFS(H922&lt;=5, "0-5", H922&lt;=10, "6-10", H922&lt;=15, "11-15", H922&lt;=20, "16-20", H922&gt;20, "21+")</f>
        <v>6-10</v>
      </c>
      <c r="J922">
        <v>30</v>
      </c>
      <c r="K922">
        <v>3.6</v>
      </c>
      <c r="M922" s="1">
        <v>0.92</v>
      </c>
    </row>
    <row r="923" spans="1:13" x14ac:dyDescent="0.3">
      <c r="A923" t="s">
        <v>1912</v>
      </c>
      <c r="B923" t="s">
        <v>1913</v>
      </c>
      <c r="C923" t="s">
        <v>73</v>
      </c>
      <c r="D923">
        <v>49</v>
      </c>
      <c r="E923" t="s">
        <v>184</v>
      </c>
      <c r="F923" t="s">
        <v>68</v>
      </c>
      <c r="G923" t="s">
        <v>85</v>
      </c>
      <c r="H923">
        <v>3</v>
      </c>
      <c r="I923" t="str" cm="1">
        <f t="array" ref="I923">_xlfn.IFS(H923&lt;=5, "0-5", H923&lt;=10, "6-10", H923&lt;=15, "11-15", H923&lt;=20, "16-20", H923&gt;20, "21+")</f>
        <v>0-5</v>
      </c>
      <c r="J923">
        <v>75</v>
      </c>
      <c r="K923">
        <v>2.1</v>
      </c>
      <c r="M923" s="1">
        <v>0.85</v>
      </c>
    </row>
    <row r="924" spans="1:13" x14ac:dyDescent="0.3">
      <c r="A924" t="s">
        <v>1914</v>
      </c>
      <c r="B924" t="s">
        <v>2112</v>
      </c>
      <c r="C924" t="s">
        <v>73</v>
      </c>
      <c r="D924">
        <v>49</v>
      </c>
      <c r="E924" t="s">
        <v>108</v>
      </c>
      <c r="F924" t="s">
        <v>109</v>
      </c>
      <c r="G924" t="s">
        <v>42</v>
      </c>
      <c r="H924">
        <v>0</v>
      </c>
      <c r="I924" t="str" cm="1">
        <f t="array" ref="I924">_xlfn.IFS(H924&lt;=5, "0-5", H924&lt;=10, "6-10", H924&lt;=15, "11-15", H924&lt;=20, "16-20", H924&gt;20, "21+")</f>
        <v>0-5</v>
      </c>
      <c r="J924">
        <v>75</v>
      </c>
      <c r="K924">
        <v>2.9</v>
      </c>
      <c r="L924" t="s">
        <v>2085</v>
      </c>
    </row>
    <row r="925" spans="1:13" x14ac:dyDescent="0.3">
      <c r="A925" t="s">
        <v>1916</v>
      </c>
      <c r="B925" t="s">
        <v>1917</v>
      </c>
      <c r="C925" t="s">
        <v>73</v>
      </c>
      <c r="D925">
        <v>49</v>
      </c>
      <c r="E925" t="s">
        <v>108</v>
      </c>
      <c r="F925" t="s">
        <v>109</v>
      </c>
      <c r="G925" t="s">
        <v>22</v>
      </c>
      <c r="H925">
        <v>7</v>
      </c>
      <c r="I925" t="str" cm="1">
        <f t="array" ref="I925">_xlfn.IFS(H925&lt;=5, "0-5", H925&lt;=10, "6-10", H925&lt;=15, "11-15", H925&lt;=20, "16-20", H925&gt;20, "21+")</f>
        <v>6-10</v>
      </c>
      <c r="J925">
        <v>100</v>
      </c>
      <c r="K925">
        <v>3.6</v>
      </c>
      <c r="L925" t="s">
        <v>2086</v>
      </c>
    </row>
    <row r="926" spans="1:13" x14ac:dyDescent="0.3">
      <c r="A926" t="s">
        <v>1918</v>
      </c>
      <c r="B926" t="s">
        <v>1919</v>
      </c>
      <c r="C926" t="s">
        <v>73</v>
      </c>
      <c r="D926">
        <v>58</v>
      </c>
      <c r="E926" t="s">
        <v>103</v>
      </c>
      <c r="F926" t="s">
        <v>104</v>
      </c>
      <c r="G926" t="s">
        <v>16</v>
      </c>
      <c r="H926">
        <v>6</v>
      </c>
      <c r="I926" t="str" cm="1">
        <f t="array" ref="I926">_xlfn.IFS(H926&lt;=5, "0-5", H926&lt;=10, "6-10", H926&lt;=15, "11-15", H926&lt;=20, "16-20", H926&gt;20, "21+")</f>
        <v>6-10</v>
      </c>
      <c r="J926">
        <v>30</v>
      </c>
      <c r="K926">
        <v>3.3</v>
      </c>
      <c r="L926" t="s">
        <v>2086</v>
      </c>
      <c r="M926" s="1">
        <v>0.89</v>
      </c>
    </row>
    <row r="927" spans="1:13" x14ac:dyDescent="0.3">
      <c r="A927" t="s">
        <v>1920</v>
      </c>
      <c r="B927" t="s">
        <v>1921</v>
      </c>
      <c r="C927" t="s">
        <v>93</v>
      </c>
      <c r="D927">
        <v>50</v>
      </c>
      <c r="E927" t="s">
        <v>148</v>
      </c>
      <c r="F927" t="s">
        <v>149</v>
      </c>
      <c r="G927" t="s">
        <v>69</v>
      </c>
      <c r="H927">
        <v>9</v>
      </c>
      <c r="I927" t="str" cm="1">
        <f t="array" ref="I927">_xlfn.IFS(H927&lt;=5, "0-5", H927&lt;=10, "6-10", H927&lt;=15, "11-15", H927&lt;=20, "16-20", H927&gt;20, "21+")</f>
        <v>6-10</v>
      </c>
      <c r="K927">
        <v>2.5</v>
      </c>
      <c r="L927" t="s">
        <v>2086</v>
      </c>
      <c r="M927" s="1">
        <v>0.81</v>
      </c>
    </row>
    <row r="928" spans="1:13" x14ac:dyDescent="0.3">
      <c r="A928" t="s">
        <v>1922</v>
      </c>
      <c r="B928" t="s">
        <v>1923</v>
      </c>
      <c r="C928" t="s">
        <v>93</v>
      </c>
      <c r="D928">
        <v>27</v>
      </c>
      <c r="E928" t="s">
        <v>148</v>
      </c>
      <c r="F928" t="s">
        <v>149</v>
      </c>
      <c r="G928" t="s">
        <v>85</v>
      </c>
      <c r="H928">
        <v>15</v>
      </c>
      <c r="I928" t="str" cm="1">
        <f t="array" ref="I928">_xlfn.IFS(H928&lt;=5, "0-5", H928&lt;=10, "6-10", H928&lt;=15, "11-15", H928&lt;=20, "16-20", H928&gt;20, "21+")</f>
        <v>11-15</v>
      </c>
      <c r="J928">
        <v>100</v>
      </c>
      <c r="K928">
        <v>3.7</v>
      </c>
      <c r="L928" t="s">
        <v>2086</v>
      </c>
      <c r="M928" s="1">
        <v>0.61</v>
      </c>
    </row>
    <row r="929" spans="1:13" x14ac:dyDescent="0.3">
      <c r="A929" t="s">
        <v>1924</v>
      </c>
      <c r="B929" t="s">
        <v>1925</v>
      </c>
      <c r="C929" t="s">
        <v>73</v>
      </c>
      <c r="D929">
        <v>20</v>
      </c>
      <c r="E929" t="s">
        <v>108</v>
      </c>
      <c r="F929" t="s">
        <v>109</v>
      </c>
      <c r="G929" t="s">
        <v>110</v>
      </c>
      <c r="H929">
        <v>20</v>
      </c>
      <c r="I929" t="str" cm="1">
        <f t="array" ref="I929">_xlfn.IFS(H929&lt;=5, "0-5", H929&lt;=10, "6-10", H929&lt;=15, "11-15", H929&lt;=20, "16-20", H929&gt;20, "21+")</f>
        <v>16-20</v>
      </c>
      <c r="J929">
        <v>30</v>
      </c>
      <c r="K929">
        <v>4.5999999999999996</v>
      </c>
      <c r="L929" t="s">
        <v>2086</v>
      </c>
    </row>
    <row r="930" spans="1:13" x14ac:dyDescent="0.3">
      <c r="A930" t="s">
        <v>1926</v>
      </c>
      <c r="B930" t="s">
        <v>1927</v>
      </c>
      <c r="C930" t="s">
        <v>93</v>
      </c>
      <c r="D930">
        <v>52</v>
      </c>
      <c r="E930" t="s">
        <v>119</v>
      </c>
      <c r="F930" t="s">
        <v>120</v>
      </c>
      <c r="G930" t="s">
        <v>16</v>
      </c>
      <c r="H930">
        <v>16</v>
      </c>
      <c r="I930" t="str" cm="1">
        <f t="array" ref="I930">_xlfn.IFS(H930&lt;=5, "0-5", H930&lt;=10, "6-10", H930&lt;=15, "11-15", H930&lt;=20, "16-20", H930&gt;20, "21+")</f>
        <v>16-20</v>
      </c>
      <c r="J930">
        <v>40</v>
      </c>
      <c r="K930">
        <v>0</v>
      </c>
      <c r="L930" t="s">
        <v>2086</v>
      </c>
      <c r="M930" s="1">
        <v>0.92</v>
      </c>
    </row>
    <row r="931" spans="1:13" x14ac:dyDescent="0.3">
      <c r="A931" t="s">
        <v>1928</v>
      </c>
      <c r="B931" t="s">
        <v>1929</v>
      </c>
      <c r="C931" t="s">
        <v>73</v>
      </c>
      <c r="D931">
        <v>22</v>
      </c>
      <c r="E931" t="s">
        <v>130</v>
      </c>
      <c r="F931" t="s">
        <v>131</v>
      </c>
      <c r="G931" t="s">
        <v>110</v>
      </c>
      <c r="H931">
        <v>22</v>
      </c>
      <c r="I931" t="str" cm="1">
        <f t="array" ref="I931">_xlfn.IFS(H931&lt;=5, "0-5", H931&lt;=10, "6-10", H931&lt;=15, "11-15", H931&lt;=20, "16-20", H931&gt;20, "21+")</f>
        <v>21+</v>
      </c>
      <c r="J931">
        <v>30</v>
      </c>
      <c r="K931">
        <v>2</v>
      </c>
      <c r="L931" t="s">
        <v>2085</v>
      </c>
      <c r="M931" s="1">
        <v>0.96</v>
      </c>
    </row>
    <row r="932" spans="1:13" x14ac:dyDescent="0.3">
      <c r="A932" t="s">
        <v>1930</v>
      </c>
      <c r="B932" t="s">
        <v>1931</v>
      </c>
      <c r="C932" t="s">
        <v>73</v>
      </c>
      <c r="D932">
        <v>38</v>
      </c>
      <c r="E932" t="s">
        <v>59</v>
      </c>
      <c r="F932" t="s">
        <v>60</v>
      </c>
      <c r="G932" t="s">
        <v>34</v>
      </c>
      <c r="H932">
        <v>2</v>
      </c>
      <c r="I932" t="str" cm="1">
        <f t="array" ref="I932">_xlfn.IFS(H932&lt;=5, "0-5", H932&lt;=10, "6-10", H932&lt;=15, "11-15", H932&lt;=20, "16-20", H932&gt;20, "21+")</f>
        <v>0-5</v>
      </c>
      <c r="J932">
        <v>100</v>
      </c>
      <c r="K932">
        <v>1.7</v>
      </c>
      <c r="L932" t="s">
        <v>2085</v>
      </c>
      <c r="M932" s="1">
        <v>0.66</v>
      </c>
    </row>
    <row r="933" spans="1:13" x14ac:dyDescent="0.3">
      <c r="A933" t="s">
        <v>1932</v>
      </c>
      <c r="B933" t="s">
        <v>1933</v>
      </c>
      <c r="C933" t="s">
        <v>93</v>
      </c>
      <c r="D933">
        <v>21</v>
      </c>
      <c r="E933" t="s">
        <v>123</v>
      </c>
      <c r="F933" t="s">
        <v>21</v>
      </c>
      <c r="G933" t="s">
        <v>29</v>
      </c>
      <c r="H933">
        <v>1</v>
      </c>
      <c r="I933" t="str" cm="1">
        <f t="array" ref="I933">_xlfn.IFS(H933&lt;=5, "0-5", H933&lt;=10, "6-10", H933&lt;=15, "11-15", H933&lt;=20, "16-20", H933&gt;20, "21+")</f>
        <v>0-5</v>
      </c>
      <c r="J933">
        <v>100</v>
      </c>
      <c r="K933">
        <v>3</v>
      </c>
      <c r="L933" t="s">
        <v>2085</v>
      </c>
      <c r="M933" s="1">
        <v>0.64</v>
      </c>
    </row>
    <row r="934" spans="1:13" x14ac:dyDescent="0.3">
      <c r="A934" t="s">
        <v>1934</v>
      </c>
      <c r="B934" t="s">
        <v>1935</v>
      </c>
      <c r="C934" t="s">
        <v>93</v>
      </c>
      <c r="D934">
        <v>41</v>
      </c>
      <c r="E934" t="s">
        <v>20</v>
      </c>
      <c r="F934" t="s">
        <v>21</v>
      </c>
      <c r="G934" t="s">
        <v>42</v>
      </c>
      <c r="H934">
        <v>8</v>
      </c>
      <c r="I934" t="str" cm="1">
        <f t="array" ref="I934">_xlfn.IFS(H934&lt;=5, "0-5", H934&lt;=10, "6-10", H934&lt;=15, "11-15", H934&lt;=20, "16-20", H934&gt;20, "21+")</f>
        <v>6-10</v>
      </c>
      <c r="J934">
        <v>40</v>
      </c>
      <c r="K934">
        <v>3.4</v>
      </c>
      <c r="L934" t="s">
        <v>2085</v>
      </c>
      <c r="M934" s="1">
        <v>1</v>
      </c>
    </row>
    <row r="935" spans="1:13" x14ac:dyDescent="0.3">
      <c r="A935" t="s">
        <v>1936</v>
      </c>
      <c r="B935" t="s">
        <v>1937</v>
      </c>
      <c r="C935" t="s">
        <v>73</v>
      </c>
      <c r="D935">
        <v>33</v>
      </c>
      <c r="E935" t="s">
        <v>46</v>
      </c>
      <c r="F935" t="s">
        <v>47</v>
      </c>
      <c r="G935" t="s">
        <v>16</v>
      </c>
      <c r="H935">
        <v>8</v>
      </c>
      <c r="I935" t="str" cm="1">
        <f t="array" ref="I935">_xlfn.IFS(H935&lt;=5, "0-5", H935&lt;=10, "6-10", H935&lt;=15, "11-15", H935&lt;=20, "16-20", H935&gt;20, "21+")</f>
        <v>6-10</v>
      </c>
      <c r="J935">
        <v>40</v>
      </c>
      <c r="K935">
        <v>3.2</v>
      </c>
      <c r="L935" t="s">
        <v>2086</v>
      </c>
      <c r="M935" s="1">
        <v>0.95</v>
      </c>
    </row>
    <row r="936" spans="1:13" x14ac:dyDescent="0.3">
      <c r="A936" t="s">
        <v>1938</v>
      </c>
      <c r="B936" t="s">
        <v>1939</v>
      </c>
      <c r="C936" t="s">
        <v>73</v>
      </c>
      <c r="D936">
        <v>38</v>
      </c>
      <c r="E936" t="s">
        <v>173</v>
      </c>
      <c r="F936" t="s">
        <v>68</v>
      </c>
      <c r="G936" t="s">
        <v>22</v>
      </c>
      <c r="H936">
        <v>7</v>
      </c>
      <c r="I936" t="str" cm="1">
        <f t="array" ref="I936">_xlfn.IFS(H936&lt;=5, "0-5", H936&lt;=10, "6-10", H936&lt;=15, "11-15", H936&lt;=20, "16-20", H936&gt;20, "21+")</f>
        <v>6-10</v>
      </c>
      <c r="K936">
        <v>2.8</v>
      </c>
      <c r="M936" s="1">
        <v>0.91</v>
      </c>
    </row>
    <row r="937" spans="1:13" x14ac:dyDescent="0.3">
      <c r="A937" t="s">
        <v>1940</v>
      </c>
      <c r="B937" t="s">
        <v>1941</v>
      </c>
      <c r="C937" t="s">
        <v>73</v>
      </c>
      <c r="D937">
        <v>26</v>
      </c>
      <c r="E937" t="s">
        <v>119</v>
      </c>
      <c r="F937" t="s">
        <v>120</v>
      </c>
      <c r="G937" t="s">
        <v>85</v>
      </c>
      <c r="H937">
        <v>8</v>
      </c>
      <c r="I937" t="str" cm="1">
        <f t="array" ref="I937">_xlfn.IFS(H937&lt;=5, "0-5", H937&lt;=10, "6-10", H937&lt;=15, "11-15", H937&lt;=20, "16-20", H937&gt;20, "21+")</f>
        <v>6-10</v>
      </c>
      <c r="J937">
        <v>20</v>
      </c>
      <c r="K937">
        <v>4.0999999999999996</v>
      </c>
      <c r="L937" t="s">
        <v>2086</v>
      </c>
      <c r="M937" s="1">
        <v>0.82</v>
      </c>
    </row>
    <row r="938" spans="1:13" x14ac:dyDescent="0.3">
      <c r="A938" t="s">
        <v>1942</v>
      </c>
      <c r="B938" t="s">
        <v>1943</v>
      </c>
      <c r="C938" t="s">
        <v>73</v>
      </c>
      <c r="D938">
        <v>43</v>
      </c>
      <c r="E938" t="s">
        <v>40</v>
      </c>
      <c r="F938" t="s">
        <v>41</v>
      </c>
      <c r="G938" t="s">
        <v>42</v>
      </c>
      <c r="H938">
        <v>6</v>
      </c>
      <c r="I938" t="str" cm="1">
        <f t="array" ref="I938">_xlfn.IFS(H938&lt;=5, "0-5", H938&lt;=10, "6-10", H938&lt;=15, "11-15", H938&lt;=20, "16-20", H938&gt;20, "21+")</f>
        <v>6-10</v>
      </c>
      <c r="J938">
        <v>20</v>
      </c>
      <c r="K938">
        <v>0</v>
      </c>
      <c r="L938" t="s">
        <v>2086</v>
      </c>
      <c r="M938" s="1">
        <v>0.95</v>
      </c>
    </row>
    <row r="939" spans="1:13" x14ac:dyDescent="0.3">
      <c r="A939" t="s">
        <v>1944</v>
      </c>
      <c r="B939" t="s">
        <v>1945</v>
      </c>
      <c r="C939" t="s">
        <v>73</v>
      </c>
      <c r="D939">
        <v>21</v>
      </c>
      <c r="E939" t="s">
        <v>14</v>
      </c>
      <c r="F939" t="s">
        <v>15</v>
      </c>
      <c r="G939" t="s">
        <v>74</v>
      </c>
      <c r="H939">
        <v>16</v>
      </c>
      <c r="I939" t="str" cm="1">
        <f t="array" ref="I939">_xlfn.IFS(H939&lt;=5, "0-5", H939&lt;=10, "6-10", H939&lt;=15, "11-15", H939&lt;=20, "16-20", H939&gt;20, "21+")</f>
        <v>16-20</v>
      </c>
      <c r="K939">
        <v>0</v>
      </c>
      <c r="L939" t="s">
        <v>2086</v>
      </c>
      <c r="M939" s="1">
        <v>0.95</v>
      </c>
    </row>
    <row r="940" spans="1:13" x14ac:dyDescent="0.3">
      <c r="A940" t="s">
        <v>1946</v>
      </c>
      <c r="B940" t="s">
        <v>1947</v>
      </c>
      <c r="C940" t="s">
        <v>93</v>
      </c>
      <c r="D940">
        <v>47</v>
      </c>
      <c r="E940" t="s">
        <v>108</v>
      </c>
      <c r="F940" t="s">
        <v>109</v>
      </c>
      <c r="G940" t="s">
        <v>22</v>
      </c>
      <c r="H940">
        <v>40</v>
      </c>
      <c r="I940" t="str" cm="1">
        <f t="array" ref="I940">_xlfn.IFS(H940&lt;=5, "0-5", H940&lt;=10, "6-10", H940&lt;=15, "11-15", H940&lt;=20, "16-20", H940&gt;20, "21+")</f>
        <v>21+</v>
      </c>
      <c r="J940">
        <v>30</v>
      </c>
      <c r="M940" s="1">
        <v>0.69</v>
      </c>
    </row>
    <row r="941" spans="1:13" x14ac:dyDescent="0.3">
      <c r="A941" t="s">
        <v>1948</v>
      </c>
      <c r="B941" t="s">
        <v>1949</v>
      </c>
      <c r="C941" t="s">
        <v>93</v>
      </c>
      <c r="D941">
        <v>35</v>
      </c>
      <c r="E941" t="s">
        <v>184</v>
      </c>
      <c r="F941" t="s">
        <v>68</v>
      </c>
      <c r="G941" t="s">
        <v>29</v>
      </c>
      <c r="H941">
        <v>6</v>
      </c>
      <c r="I941" t="str" cm="1">
        <f t="array" ref="I941">_xlfn.IFS(H941&lt;=5, "0-5", H941&lt;=10, "6-10", H941&lt;=15, "11-15", H941&lt;=20, "16-20", H941&gt;20, "21+")</f>
        <v>6-10</v>
      </c>
      <c r="J941">
        <v>40</v>
      </c>
      <c r="L941" t="s">
        <v>2086</v>
      </c>
      <c r="M941" s="1">
        <v>0.91</v>
      </c>
    </row>
    <row r="942" spans="1:13" x14ac:dyDescent="0.3">
      <c r="A942" t="s">
        <v>1950</v>
      </c>
      <c r="B942" t="s">
        <v>1951</v>
      </c>
      <c r="C942" t="s">
        <v>73</v>
      </c>
      <c r="D942">
        <v>37</v>
      </c>
      <c r="E942" t="s">
        <v>46</v>
      </c>
      <c r="F942" t="s">
        <v>47</v>
      </c>
      <c r="G942" t="s">
        <v>22</v>
      </c>
      <c r="H942">
        <v>3</v>
      </c>
      <c r="I942" t="str" cm="1">
        <f t="array" ref="I942">_xlfn.IFS(H942&lt;=5, "0-5", H942&lt;=10, "6-10", H942&lt;=15, "11-15", H942&lt;=20, "16-20", H942&gt;20, "21+")</f>
        <v>0-5</v>
      </c>
      <c r="J942">
        <v>30</v>
      </c>
      <c r="K942">
        <v>2.7</v>
      </c>
      <c r="L942" t="s">
        <v>2086</v>
      </c>
    </row>
    <row r="943" spans="1:13" x14ac:dyDescent="0.3">
      <c r="A943" t="s">
        <v>1952</v>
      </c>
      <c r="B943" t="s">
        <v>1953</v>
      </c>
      <c r="C943" t="s">
        <v>73</v>
      </c>
      <c r="D943">
        <v>38</v>
      </c>
      <c r="E943" t="s">
        <v>103</v>
      </c>
      <c r="F943" t="s">
        <v>104</v>
      </c>
      <c r="G943" t="s">
        <v>42</v>
      </c>
      <c r="H943">
        <v>5</v>
      </c>
      <c r="I943" t="str" cm="1">
        <f t="array" ref="I943">_xlfn.IFS(H943&lt;=5, "0-5", H943&lt;=10, "6-10", H943&lt;=15, "11-15", H943&lt;=20, "16-20", H943&gt;20, "21+")</f>
        <v>0-5</v>
      </c>
      <c r="J943">
        <v>40</v>
      </c>
      <c r="K943">
        <v>4</v>
      </c>
      <c r="M943" s="1">
        <v>0.62</v>
      </c>
    </row>
    <row r="944" spans="1:13" x14ac:dyDescent="0.3">
      <c r="A944" t="s">
        <v>1954</v>
      </c>
      <c r="B944" t="s">
        <v>1955</v>
      </c>
      <c r="C944" t="s">
        <v>93</v>
      </c>
      <c r="D944">
        <v>40</v>
      </c>
      <c r="E944" t="s">
        <v>123</v>
      </c>
      <c r="F944" t="s">
        <v>21</v>
      </c>
      <c r="G944" t="s">
        <v>48</v>
      </c>
      <c r="H944">
        <v>12</v>
      </c>
      <c r="I944" t="str" cm="1">
        <f t="array" ref="I944">_xlfn.IFS(H944&lt;=5, "0-5", H944&lt;=10, "6-10", H944&lt;=15, "11-15", H944&lt;=20, "16-20", H944&gt;20, "21+")</f>
        <v>11-15</v>
      </c>
      <c r="J944">
        <v>20</v>
      </c>
      <c r="K944">
        <v>2.5</v>
      </c>
      <c r="L944" t="s">
        <v>2085</v>
      </c>
      <c r="M944" s="1">
        <v>0.81</v>
      </c>
    </row>
    <row r="945" spans="1:13" x14ac:dyDescent="0.3">
      <c r="A945" t="s">
        <v>1956</v>
      </c>
      <c r="B945" t="s">
        <v>1957</v>
      </c>
      <c r="C945" t="s">
        <v>73</v>
      </c>
      <c r="D945">
        <v>46</v>
      </c>
      <c r="E945" t="s">
        <v>103</v>
      </c>
      <c r="F945" t="s">
        <v>104</v>
      </c>
      <c r="G945" t="s">
        <v>48</v>
      </c>
      <c r="H945">
        <v>33</v>
      </c>
      <c r="I945" t="str" cm="1">
        <f t="array" ref="I945">_xlfn.IFS(H945&lt;=5, "0-5", H945&lt;=10, "6-10", H945&lt;=15, "11-15", H945&lt;=20, "16-20", H945&gt;20, "21+")</f>
        <v>21+</v>
      </c>
      <c r="J945">
        <v>75</v>
      </c>
      <c r="K945">
        <v>0</v>
      </c>
      <c r="L945" t="s">
        <v>2085</v>
      </c>
      <c r="M945" s="1">
        <v>0.94</v>
      </c>
    </row>
    <row r="946" spans="1:13" x14ac:dyDescent="0.3">
      <c r="A946" t="s">
        <v>1958</v>
      </c>
      <c r="B946" t="s">
        <v>1959</v>
      </c>
      <c r="C946" t="s">
        <v>93</v>
      </c>
      <c r="D946">
        <v>56</v>
      </c>
      <c r="E946" t="s">
        <v>134</v>
      </c>
      <c r="F946" t="s">
        <v>135</v>
      </c>
      <c r="G946" t="s">
        <v>85</v>
      </c>
      <c r="H946">
        <v>1</v>
      </c>
      <c r="I946" t="str" cm="1">
        <f t="array" ref="I946">_xlfn.IFS(H946&lt;=5, "0-5", H946&lt;=10, "6-10", H946&lt;=15, "11-15", H946&lt;=20, "16-20", H946&gt;20, "21+")</f>
        <v>0-5</v>
      </c>
      <c r="J946">
        <v>30</v>
      </c>
      <c r="L946" t="s">
        <v>2085</v>
      </c>
      <c r="M946" s="1">
        <v>0.95</v>
      </c>
    </row>
    <row r="947" spans="1:13" x14ac:dyDescent="0.3">
      <c r="A947" t="s">
        <v>1960</v>
      </c>
      <c r="B947" t="s">
        <v>1961</v>
      </c>
      <c r="C947" t="s">
        <v>93</v>
      </c>
      <c r="D947">
        <v>24</v>
      </c>
      <c r="E947" t="s">
        <v>59</v>
      </c>
      <c r="F947" t="s">
        <v>60</v>
      </c>
      <c r="G947" t="s">
        <v>29</v>
      </c>
      <c r="H947">
        <v>27</v>
      </c>
      <c r="I947" t="str" cm="1">
        <f t="array" ref="I947">_xlfn.IFS(H947&lt;=5, "0-5", H947&lt;=10, "6-10", H947&lt;=15, "11-15", H947&lt;=20, "16-20", H947&gt;20, "21+")</f>
        <v>21+</v>
      </c>
      <c r="K947">
        <v>1.6</v>
      </c>
      <c r="L947" t="s">
        <v>2085</v>
      </c>
      <c r="M947" s="1">
        <v>1</v>
      </c>
    </row>
    <row r="948" spans="1:13" x14ac:dyDescent="0.3">
      <c r="A948" t="s">
        <v>1962</v>
      </c>
      <c r="B948" t="s">
        <v>1963</v>
      </c>
      <c r="C948" t="s">
        <v>93</v>
      </c>
      <c r="E948" t="s">
        <v>173</v>
      </c>
      <c r="F948" t="s">
        <v>68</v>
      </c>
      <c r="G948" t="s">
        <v>42</v>
      </c>
      <c r="H948">
        <v>1</v>
      </c>
      <c r="I948" t="str" cm="1">
        <f t="array" ref="I948">_xlfn.IFS(H948&lt;=5, "0-5", H948&lt;=10, "6-10", H948&lt;=15, "11-15", H948&lt;=20, "16-20", H948&gt;20, "21+")</f>
        <v>0-5</v>
      </c>
      <c r="J948">
        <v>75</v>
      </c>
      <c r="K948">
        <v>0</v>
      </c>
      <c r="L948" t="s">
        <v>2086</v>
      </c>
      <c r="M948" s="1">
        <v>0.94</v>
      </c>
    </row>
    <row r="949" spans="1:13" x14ac:dyDescent="0.3">
      <c r="A949" t="s">
        <v>1964</v>
      </c>
      <c r="B949" t="s">
        <v>1965</v>
      </c>
      <c r="C949" t="s">
        <v>73</v>
      </c>
      <c r="D949">
        <v>38</v>
      </c>
      <c r="E949" t="s">
        <v>59</v>
      </c>
      <c r="F949" t="s">
        <v>60</v>
      </c>
      <c r="G949" t="s">
        <v>22</v>
      </c>
      <c r="I949" t="str" cm="1">
        <f t="array" ref="I949">_xlfn.IFS(H949&lt;=5, "0-5", H949&lt;=10, "6-10", H949&lt;=15, "11-15", H949&lt;=20, "16-20", H949&gt;20, "21+")</f>
        <v>0-5</v>
      </c>
      <c r="J949">
        <v>30</v>
      </c>
      <c r="K949">
        <v>4</v>
      </c>
      <c r="L949" t="s">
        <v>2086</v>
      </c>
      <c r="M949" s="1">
        <v>0.92</v>
      </c>
    </row>
    <row r="950" spans="1:13" x14ac:dyDescent="0.3">
      <c r="A950" t="s">
        <v>1966</v>
      </c>
      <c r="B950" t="s">
        <v>1967</v>
      </c>
      <c r="C950" t="s">
        <v>73</v>
      </c>
      <c r="D950">
        <v>28</v>
      </c>
      <c r="E950" t="s">
        <v>130</v>
      </c>
      <c r="F950" t="s">
        <v>131</v>
      </c>
      <c r="G950" t="s">
        <v>85</v>
      </c>
      <c r="H950">
        <v>40</v>
      </c>
      <c r="I950" t="str" cm="1">
        <f t="array" ref="I950">_xlfn.IFS(H950&lt;=5, "0-5", H950&lt;=10, "6-10", H950&lt;=15, "11-15", H950&lt;=20, "16-20", H950&gt;20, "21+")</f>
        <v>21+</v>
      </c>
      <c r="J950">
        <v>50</v>
      </c>
      <c r="K950">
        <v>2.5</v>
      </c>
      <c r="L950" t="s">
        <v>2086</v>
      </c>
      <c r="M950" s="1">
        <v>0.95</v>
      </c>
    </row>
    <row r="951" spans="1:13" x14ac:dyDescent="0.3">
      <c r="A951" t="s">
        <v>1968</v>
      </c>
      <c r="B951" t="s">
        <v>1969</v>
      </c>
      <c r="C951" t="s">
        <v>93</v>
      </c>
      <c r="D951">
        <v>25</v>
      </c>
      <c r="E951" t="s">
        <v>103</v>
      </c>
      <c r="F951" t="s">
        <v>104</v>
      </c>
      <c r="G951" t="s">
        <v>85</v>
      </c>
      <c r="H951">
        <v>4</v>
      </c>
      <c r="I951" t="str" cm="1">
        <f t="array" ref="I951">_xlfn.IFS(H951&lt;=5, "0-5", H951&lt;=10, "6-10", H951&lt;=15, "11-15", H951&lt;=20, "16-20", H951&gt;20, "21+")</f>
        <v>0-5</v>
      </c>
      <c r="J951">
        <v>20</v>
      </c>
      <c r="K951">
        <v>3.8</v>
      </c>
      <c r="M951" s="1">
        <v>0.97</v>
      </c>
    </row>
    <row r="952" spans="1:13" x14ac:dyDescent="0.3">
      <c r="A952" t="s">
        <v>1970</v>
      </c>
      <c r="B952" t="s">
        <v>1971</v>
      </c>
      <c r="C952" t="s">
        <v>93</v>
      </c>
      <c r="D952">
        <v>41</v>
      </c>
      <c r="E952" t="s">
        <v>63</v>
      </c>
      <c r="F952" t="s">
        <v>21</v>
      </c>
      <c r="G952" t="s">
        <v>85</v>
      </c>
      <c r="H952">
        <v>9</v>
      </c>
      <c r="I952" t="str" cm="1">
        <f t="array" ref="I952">_xlfn.IFS(H952&lt;=5, "0-5", H952&lt;=10, "6-10", H952&lt;=15, "11-15", H952&lt;=20, "16-20", H952&gt;20, "21+")</f>
        <v>6-10</v>
      </c>
      <c r="J952">
        <v>50</v>
      </c>
      <c r="K952">
        <v>4.8</v>
      </c>
      <c r="L952" t="s">
        <v>2085</v>
      </c>
      <c r="M952" s="1">
        <v>0.75</v>
      </c>
    </row>
    <row r="953" spans="1:13" x14ac:dyDescent="0.3">
      <c r="A953" t="s">
        <v>1972</v>
      </c>
      <c r="B953" t="s">
        <v>1973</v>
      </c>
      <c r="C953" t="s">
        <v>73</v>
      </c>
      <c r="D953">
        <v>45</v>
      </c>
      <c r="E953" t="s">
        <v>173</v>
      </c>
      <c r="F953" t="s">
        <v>68</v>
      </c>
      <c r="G953" t="s">
        <v>48</v>
      </c>
      <c r="H953">
        <v>13</v>
      </c>
      <c r="I953" t="str" cm="1">
        <f t="array" ref="I953">_xlfn.IFS(H953&lt;=5, "0-5", H953&lt;=10, "6-10", H953&lt;=15, "11-15", H953&lt;=20, "16-20", H953&gt;20, "21+")</f>
        <v>11-15</v>
      </c>
      <c r="J953">
        <v>40</v>
      </c>
      <c r="K953">
        <v>2</v>
      </c>
      <c r="L953" t="s">
        <v>2086</v>
      </c>
      <c r="M953" s="1">
        <v>0.78</v>
      </c>
    </row>
    <row r="954" spans="1:13" x14ac:dyDescent="0.3">
      <c r="A954" t="s">
        <v>1974</v>
      </c>
      <c r="B954" t="s">
        <v>1975</v>
      </c>
      <c r="C954" t="s">
        <v>93</v>
      </c>
      <c r="D954">
        <v>47</v>
      </c>
      <c r="E954" t="s">
        <v>59</v>
      </c>
      <c r="F954" t="s">
        <v>60</v>
      </c>
      <c r="G954" t="s">
        <v>85</v>
      </c>
      <c r="H954">
        <v>1</v>
      </c>
      <c r="I954" t="str" cm="1">
        <f t="array" ref="I954">_xlfn.IFS(H954&lt;=5, "0-5", H954&lt;=10, "6-10", H954&lt;=15, "11-15", H954&lt;=20, "16-20", H954&gt;20, "21+")</f>
        <v>0-5</v>
      </c>
      <c r="J954">
        <v>100</v>
      </c>
      <c r="K954">
        <v>3.3</v>
      </c>
      <c r="L954" t="s">
        <v>2085</v>
      </c>
      <c r="M954" s="1">
        <v>0.65</v>
      </c>
    </row>
    <row r="955" spans="1:13" x14ac:dyDescent="0.3">
      <c r="A955" t="s">
        <v>1976</v>
      </c>
      <c r="B955" t="s">
        <v>2113</v>
      </c>
      <c r="C955" t="s">
        <v>73</v>
      </c>
      <c r="D955">
        <v>59</v>
      </c>
      <c r="E955" t="s">
        <v>63</v>
      </c>
      <c r="F955" t="s">
        <v>21</v>
      </c>
      <c r="G955" t="s">
        <v>48</v>
      </c>
      <c r="H955">
        <v>1</v>
      </c>
      <c r="I955" t="str" cm="1">
        <f t="array" ref="I955">_xlfn.IFS(H955&lt;=5, "0-5", H955&lt;=10, "6-10", H955&lt;=15, "11-15", H955&lt;=20, "16-20", H955&gt;20, "21+")</f>
        <v>0-5</v>
      </c>
      <c r="J955">
        <v>40</v>
      </c>
      <c r="K955">
        <v>2.5</v>
      </c>
      <c r="L955" t="s">
        <v>2086</v>
      </c>
      <c r="M955" s="1">
        <v>0.7</v>
      </c>
    </row>
    <row r="956" spans="1:13" x14ac:dyDescent="0.3">
      <c r="A956" t="s">
        <v>1978</v>
      </c>
      <c r="B956" t="s">
        <v>1979</v>
      </c>
      <c r="C956" t="s">
        <v>73</v>
      </c>
      <c r="D956">
        <v>25</v>
      </c>
      <c r="E956" t="s">
        <v>123</v>
      </c>
      <c r="F956" t="s">
        <v>21</v>
      </c>
      <c r="G956" t="s">
        <v>16</v>
      </c>
      <c r="H956">
        <v>3</v>
      </c>
      <c r="I956" t="str" cm="1">
        <f t="array" ref="I956">_xlfn.IFS(H956&lt;=5, "0-5", H956&lt;=10, "6-10", H956&lt;=15, "11-15", H956&lt;=20, "16-20", H956&gt;20, "21+")</f>
        <v>0-5</v>
      </c>
      <c r="J956">
        <v>100</v>
      </c>
      <c r="L956" t="s">
        <v>2086</v>
      </c>
      <c r="M956" s="1">
        <v>0.78</v>
      </c>
    </row>
    <row r="957" spans="1:13" x14ac:dyDescent="0.3">
      <c r="A957" t="s">
        <v>1980</v>
      </c>
      <c r="B957" t="s">
        <v>1981</v>
      </c>
      <c r="C957" t="s">
        <v>93</v>
      </c>
      <c r="D957">
        <v>27</v>
      </c>
      <c r="E957" t="s">
        <v>20</v>
      </c>
      <c r="F957" t="s">
        <v>21</v>
      </c>
      <c r="G957" t="s">
        <v>34</v>
      </c>
      <c r="H957">
        <v>1</v>
      </c>
      <c r="I957" t="str" cm="1">
        <f t="array" ref="I957">_xlfn.IFS(H957&lt;=5, "0-5", H957&lt;=10, "6-10", H957&lt;=15, "11-15", H957&lt;=20, "16-20", H957&gt;20, "21+")</f>
        <v>0-5</v>
      </c>
      <c r="J957">
        <v>50</v>
      </c>
      <c r="L957" t="s">
        <v>2086</v>
      </c>
      <c r="M957" s="1">
        <v>0.96</v>
      </c>
    </row>
    <row r="958" spans="1:13" x14ac:dyDescent="0.3">
      <c r="A958" t="s">
        <v>1982</v>
      </c>
      <c r="B958" t="s">
        <v>1983</v>
      </c>
      <c r="C958" t="s">
        <v>73</v>
      </c>
      <c r="D958">
        <v>57</v>
      </c>
      <c r="E958" t="s">
        <v>20</v>
      </c>
      <c r="F958" t="s">
        <v>21</v>
      </c>
      <c r="G958" t="s">
        <v>42</v>
      </c>
      <c r="H958">
        <v>3</v>
      </c>
      <c r="I958" t="str" cm="1">
        <f t="array" ref="I958">_xlfn.IFS(H958&lt;=5, "0-5", H958&lt;=10, "6-10", H958&lt;=15, "11-15", H958&lt;=20, "16-20", H958&gt;20, "21+")</f>
        <v>0-5</v>
      </c>
      <c r="J958">
        <v>100</v>
      </c>
      <c r="K958">
        <v>0</v>
      </c>
      <c r="L958" t="s">
        <v>2086</v>
      </c>
      <c r="M958" s="1">
        <v>0.8</v>
      </c>
    </row>
    <row r="959" spans="1:13" x14ac:dyDescent="0.3">
      <c r="A959" t="s">
        <v>1984</v>
      </c>
      <c r="B959" t="s">
        <v>1985</v>
      </c>
      <c r="C959" t="s">
        <v>73</v>
      </c>
      <c r="D959">
        <v>34</v>
      </c>
      <c r="E959" t="s">
        <v>59</v>
      </c>
      <c r="F959" t="s">
        <v>60</v>
      </c>
      <c r="G959" t="s">
        <v>69</v>
      </c>
      <c r="H959">
        <v>14</v>
      </c>
      <c r="I959" t="str" cm="1">
        <f t="array" ref="I959">_xlfn.IFS(H959&lt;=5, "0-5", H959&lt;=10, "6-10", H959&lt;=15, "11-15", H959&lt;=20, "16-20", H959&gt;20, "21+")</f>
        <v>11-15</v>
      </c>
      <c r="J959">
        <v>20</v>
      </c>
      <c r="K959">
        <v>1.6</v>
      </c>
      <c r="L959" t="s">
        <v>2086</v>
      </c>
      <c r="M959" s="1">
        <v>0.64</v>
      </c>
    </row>
    <row r="960" spans="1:13" x14ac:dyDescent="0.3">
      <c r="A960" t="s">
        <v>1986</v>
      </c>
      <c r="B960" t="s">
        <v>1987</v>
      </c>
      <c r="C960" t="s">
        <v>93</v>
      </c>
      <c r="D960">
        <v>55</v>
      </c>
      <c r="E960" t="s">
        <v>130</v>
      </c>
      <c r="F960" t="s">
        <v>131</v>
      </c>
      <c r="G960" t="s">
        <v>69</v>
      </c>
      <c r="H960">
        <v>2</v>
      </c>
      <c r="I960" t="str" cm="1">
        <f t="array" ref="I960">_xlfn.IFS(H960&lt;=5, "0-5", H960&lt;=10, "6-10", H960&lt;=15, "11-15", H960&lt;=20, "16-20", H960&gt;20, "21+")</f>
        <v>0-5</v>
      </c>
      <c r="J960">
        <v>50</v>
      </c>
      <c r="K960">
        <v>0</v>
      </c>
      <c r="L960" t="s">
        <v>2085</v>
      </c>
      <c r="M960" s="1">
        <v>0.92</v>
      </c>
    </row>
    <row r="961" spans="1:13" x14ac:dyDescent="0.3">
      <c r="A961" t="s">
        <v>1988</v>
      </c>
      <c r="B961" t="s">
        <v>1989</v>
      </c>
      <c r="C961" t="s">
        <v>93</v>
      </c>
      <c r="D961">
        <v>21</v>
      </c>
      <c r="E961" t="s">
        <v>134</v>
      </c>
      <c r="F961" t="s">
        <v>135</v>
      </c>
      <c r="G961" t="s">
        <v>16</v>
      </c>
      <c r="H961">
        <v>27</v>
      </c>
      <c r="I961" t="str" cm="1">
        <f t="array" ref="I961">_xlfn.IFS(H961&lt;=5, "0-5", H961&lt;=10, "6-10", H961&lt;=15, "11-15", H961&lt;=20, "16-20", H961&gt;20, "21+")</f>
        <v>21+</v>
      </c>
      <c r="J961">
        <v>100</v>
      </c>
      <c r="K961">
        <v>0</v>
      </c>
      <c r="L961" t="s">
        <v>2086</v>
      </c>
    </row>
    <row r="962" spans="1:13" x14ac:dyDescent="0.3">
      <c r="A962" t="s">
        <v>1990</v>
      </c>
      <c r="B962" t="s">
        <v>1991</v>
      </c>
      <c r="C962" t="s">
        <v>93</v>
      </c>
      <c r="D962">
        <v>53</v>
      </c>
      <c r="E962" t="s">
        <v>40</v>
      </c>
      <c r="F962" t="s">
        <v>41</v>
      </c>
      <c r="G962" t="s">
        <v>85</v>
      </c>
      <c r="H962">
        <v>7</v>
      </c>
      <c r="I962" t="str" cm="1">
        <f t="array" ref="I962">_xlfn.IFS(H962&lt;=5, "0-5", H962&lt;=10, "6-10", H962&lt;=15, "11-15", H962&lt;=20, "16-20", H962&gt;20, "21+")</f>
        <v>6-10</v>
      </c>
      <c r="J962">
        <v>20</v>
      </c>
      <c r="K962">
        <v>4.7</v>
      </c>
      <c r="L962" t="s">
        <v>2086</v>
      </c>
      <c r="M962" s="1">
        <v>0.71</v>
      </c>
    </row>
    <row r="963" spans="1:13" x14ac:dyDescent="0.3">
      <c r="A963" t="s">
        <v>1992</v>
      </c>
      <c r="B963" t="s">
        <v>1993</v>
      </c>
      <c r="C963" t="s">
        <v>73</v>
      </c>
      <c r="D963">
        <v>21</v>
      </c>
      <c r="E963" t="s">
        <v>27</v>
      </c>
      <c r="F963" t="s">
        <v>28</v>
      </c>
      <c r="G963" t="s">
        <v>69</v>
      </c>
      <c r="H963">
        <v>29</v>
      </c>
      <c r="I963" t="str" cm="1">
        <f t="array" ref="I963">_xlfn.IFS(H963&lt;=5, "0-5", H963&lt;=10, "6-10", H963&lt;=15, "11-15", H963&lt;=20, "16-20", H963&gt;20, "21+")</f>
        <v>21+</v>
      </c>
      <c r="J963">
        <v>100</v>
      </c>
      <c r="K963">
        <v>0</v>
      </c>
      <c r="L963" t="s">
        <v>2086</v>
      </c>
      <c r="M963" s="1">
        <v>0.95</v>
      </c>
    </row>
    <row r="964" spans="1:13" x14ac:dyDescent="0.3">
      <c r="A964" t="s">
        <v>1994</v>
      </c>
      <c r="B964" t="s">
        <v>1995</v>
      </c>
      <c r="C964" t="s">
        <v>73</v>
      </c>
      <c r="D964">
        <v>36</v>
      </c>
      <c r="E964" t="s">
        <v>103</v>
      </c>
      <c r="F964" t="s">
        <v>104</v>
      </c>
      <c r="G964" t="s">
        <v>34</v>
      </c>
      <c r="H964">
        <v>5</v>
      </c>
      <c r="I964" t="str" cm="1">
        <f t="array" ref="I964">_xlfn.IFS(H964&lt;=5, "0-5", H964&lt;=10, "6-10", H964&lt;=15, "11-15", H964&lt;=20, "16-20", H964&gt;20, "21+")</f>
        <v>0-5</v>
      </c>
      <c r="J964">
        <v>20</v>
      </c>
      <c r="K964">
        <v>4.0999999999999996</v>
      </c>
      <c r="L964" t="s">
        <v>2085</v>
      </c>
      <c r="M964" s="1">
        <v>0.86</v>
      </c>
    </row>
    <row r="965" spans="1:13" x14ac:dyDescent="0.3">
      <c r="A965" t="s">
        <v>1996</v>
      </c>
      <c r="B965" t="s">
        <v>2114</v>
      </c>
      <c r="C965" t="s">
        <v>93</v>
      </c>
      <c r="D965">
        <v>40</v>
      </c>
      <c r="E965" t="s">
        <v>27</v>
      </c>
      <c r="F965" t="s">
        <v>28</v>
      </c>
      <c r="G965" t="s">
        <v>42</v>
      </c>
      <c r="H965">
        <v>2</v>
      </c>
      <c r="I965" t="str" cm="1">
        <f t="array" ref="I965">_xlfn.IFS(H965&lt;=5, "0-5", H965&lt;=10, "6-10", H965&lt;=15, "11-15", H965&lt;=20, "16-20", H965&gt;20, "21+")</f>
        <v>0-5</v>
      </c>
      <c r="J965">
        <v>30</v>
      </c>
      <c r="K965">
        <v>1.3</v>
      </c>
      <c r="L965" t="s">
        <v>2086</v>
      </c>
      <c r="M965" s="1">
        <v>0.77</v>
      </c>
    </row>
    <row r="966" spans="1:13" x14ac:dyDescent="0.3">
      <c r="A966" t="s">
        <v>1998</v>
      </c>
      <c r="B966" t="s">
        <v>1999</v>
      </c>
      <c r="C966" t="s">
        <v>73</v>
      </c>
      <c r="D966">
        <v>59</v>
      </c>
      <c r="E966" t="s">
        <v>63</v>
      </c>
      <c r="F966" t="s">
        <v>21</v>
      </c>
      <c r="G966" t="s">
        <v>69</v>
      </c>
      <c r="H966">
        <v>18</v>
      </c>
      <c r="I966" t="str" cm="1">
        <f t="array" ref="I966">_xlfn.IFS(H966&lt;=5, "0-5", H966&lt;=10, "6-10", H966&lt;=15, "11-15", H966&lt;=20, "16-20", H966&gt;20, "21+")</f>
        <v>16-20</v>
      </c>
      <c r="J966">
        <v>100</v>
      </c>
      <c r="K966">
        <v>2.6</v>
      </c>
    </row>
    <row r="967" spans="1:13" x14ac:dyDescent="0.3">
      <c r="A967" t="s">
        <v>2000</v>
      </c>
      <c r="B967" t="s">
        <v>2001</v>
      </c>
      <c r="C967" t="s">
        <v>93</v>
      </c>
      <c r="D967">
        <v>45</v>
      </c>
      <c r="E967" t="s">
        <v>40</v>
      </c>
      <c r="F967" t="s">
        <v>41</v>
      </c>
      <c r="G967" t="s">
        <v>74</v>
      </c>
      <c r="H967">
        <v>8</v>
      </c>
      <c r="I967" t="str" cm="1">
        <f t="array" ref="I967">_xlfn.IFS(H967&lt;=5, "0-5", H967&lt;=10, "6-10", H967&lt;=15, "11-15", H967&lt;=20, "16-20", H967&gt;20, "21+")</f>
        <v>6-10</v>
      </c>
      <c r="J967">
        <v>20</v>
      </c>
      <c r="K967">
        <v>2.7</v>
      </c>
      <c r="M967" s="1">
        <v>0.72</v>
      </c>
    </row>
    <row r="968" spans="1:13" x14ac:dyDescent="0.3">
      <c r="A968" t="s">
        <v>2002</v>
      </c>
      <c r="B968" t="s">
        <v>2003</v>
      </c>
      <c r="C968" t="s">
        <v>93</v>
      </c>
      <c r="D968">
        <v>44</v>
      </c>
      <c r="E968" t="s">
        <v>108</v>
      </c>
      <c r="F968" t="s">
        <v>109</v>
      </c>
      <c r="G968" t="s">
        <v>110</v>
      </c>
      <c r="H968">
        <v>0</v>
      </c>
      <c r="I968" t="str" cm="1">
        <f t="array" ref="I968">_xlfn.IFS(H968&lt;=5, "0-5", H968&lt;=10, "6-10", H968&lt;=15, "11-15", H968&lt;=20, "16-20", H968&gt;20, "21+")</f>
        <v>0-5</v>
      </c>
      <c r="J968">
        <v>40</v>
      </c>
      <c r="L968" t="s">
        <v>2085</v>
      </c>
      <c r="M968" s="1">
        <v>0.7</v>
      </c>
    </row>
    <row r="969" spans="1:13" x14ac:dyDescent="0.3">
      <c r="A969" t="s">
        <v>2004</v>
      </c>
      <c r="B969" t="s">
        <v>2005</v>
      </c>
      <c r="C969" t="s">
        <v>73</v>
      </c>
      <c r="D969">
        <v>36</v>
      </c>
      <c r="E969" t="s">
        <v>63</v>
      </c>
      <c r="F969" t="s">
        <v>21</v>
      </c>
      <c r="G969" t="s">
        <v>74</v>
      </c>
      <c r="H969">
        <v>16</v>
      </c>
      <c r="I969" t="str" cm="1">
        <f t="array" ref="I969">_xlfn.IFS(H969&lt;=5, "0-5", H969&lt;=10, "6-10", H969&lt;=15, "11-15", H969&lt;=20, "16-20", H969&gt;20, "21+")</f>
        <v>16-20</v>
      </c>
      <c r="J969">
        <v>30</v>
      </c>
      <c r="K969">
        <v>3.6</v>
      </c>
      <c r="L969" t="s">
        <v>2085</v>
      </c>
      <c r="M969" s="1">
        <v>0.86</v>
      </c>
    </row>
    <row r="970" spans="1:13" x14ac:dyDescent="0.3">
      <c r="A970" t="s">
        <v>2006</v>
      </c>
      <c r="B970" t="s">
        <v>2115</v>
      </c>
      <c r="C970" t="s">
        <v>73</v>
      </c>
      <c r="D970">
        <v>26</v>
      </c>
      <c r="E970" t="s">
        <v>89</v>
      </c>
      <c r="F970" t="s">
        <v>90</v>
      </c>
      <c r="G970" t="s">
        <v>29</v>
      </c>
      <c r="H970">
        <v>8</v>
      </c>
      <c r="I970" t="str" cm="1">
        <f t="array" ref="I970">_xlfn.IFS(H970&lt;=5, "0-5", H970&lt;=10, "6-10", H970&lt;=15, "11-15", H970&lt;=20, "16-20", H970&gt;20, "21+")</f>
        <v>6-10</v>
      </c>
      <c r="J970">
        <v>75</v>
      </c>
      <c r="K970">
        <v>3</v>
      </c>
      <c r="L970" t="s">
        <v>2086</v>
      </c>
    </row>
    <row r="971" spans="1:13" x14ac:dyDescent="0.3">
      <c r="A971" t="s">
        <v>2008</v>
      </c>
      <c r="B971" t="s">
        <v>2009</v>
      </c>
      <c r="C971" t="s">
        <v>93</v>
      </c>
      <c r="D971">
        <v>49</v>
      </c>
      <c r="E971" t="s">
        <v>89</v>
      </c>
      <c r="F971" t="s">
        <v>90</v>
      </c>
      <c r="G971" t="s">
        <v>34</v>
      </c>
      <c r="H971">
        <v>39</v>
      </c>
      <c r="I971" t="str" cm="1">
        <f t="array" ref="I971">_xlfn.IFS(H971&lt;=5, "0-5", H971&lt;=10, "6-10", H971&lt;=15, "11-15", H971&lt;=20, "16-20", H971&gt;20, "21+")</f>
        <v>21+</v>
      </c>
      <c r="K971">
        <v>0</v>
      </c>
      <c r="L971" t="s">
        <v>2085</v>
      </c>
      <c r="M971" s="1">
        <v>0.82</v>
      </c>
    </row>
    <row r="972" spans="1:13" x14ac:dyDescent="0.3">
      <c r="A972" t="s">
        <v>2010</v>
      </c>
      <c r="B972" t="s">
        <v>2011</v>
      </c>
      <c r="C972" t="s">
        <v>93</v>
      </c>
      <c r="D972">
        <v>29</v>
      </c>
      <c r="E972" t="s">
        <v>130</v>
      </c>
      <c r="F972" t="s">
        <v>131</v>
      </c>
      <c r="G972" t="s">
        <v>22</v>
      </c>
      <c r="I972" t="str" cm="1">
        <f t="array" ref="I972">_xlfn.IFS(H972&lt;=5, "0-5", H972&lt;=10, "6-10", H972&lt;=15, "11-15", H972&lt;=20, "16-20", H972&gt;20, "21+")</f>
        <v>0-5</v>
      </c>
      <c r="J972">
        <v>40</v>
      </c>
      <c r="K972">
        <v>0</v>
      </c>
      <c r="L972" t="s">
        <v>2086</v>
      </c>
      <c r="M972" s="1">
        <v>0.81</v>
      </c>
    </row>
    <row r="973" spans="1:13" x14ac:dyDescent="0.3">
      <c r="A973" t="s">
        <v>2012</v>
      </c>
      <c r="B973" t="s">
        <v>2013</v>
      </c>
      <c r="C973" t="s">
        <v>93</v>
      </c>
      <c r="D973">
        <v>32</v>
      </c>
      <c r="E973" t="s">
        <v>130</v>
      </c>
      <c r="F973" t="s">
        <v>131</v>
      </c>
      <c r="G973" t="s">
        <v>29</v>
      </c>
      <c r="H973">
        <v>16</v>
      </c>
      <c r="I973" t="str" cm="1">
        <f t="array" ref="I973">_xlfn.IFS(H973&lt;=5, "0-5", H973&lt;=10, "6-10", H973&lt;=15, "11-15", H973&lt;=20, "16-20", H973&gt;20, "21+")</f>
        <v>16-20</v>
      </c>
      <c r="J973">
        <v>40</v>
      </c>
      <c r="K973">
        <v>3.1</v>
      </c>
      <c r="L973" t="s">
        <v>2086</v>
      </c>
      <c r="M973" s="1">
        <v>0.76</v>
      </c>
    </row>
    <row r="974" spans="1:13" x14ac:dyDescent="0.3">
      <c r="A974" t="s">
        <v>2014</v>
      </c>
      <c r="B974" t="s">
        <v>2015</v>
      </c>
      <c r="C974" t="s">
        <v>93</v>
      </c>
      <c r="D974">
        <v>24</v>
      </c>
      <c r="E974" t="s">
        <v>46</v>
      </c>
      <c r="F974" t="s">
        <v>47</v>
      </c>
      <c r="G974" t="s">
        <v>16</v>
      </c>
      <c r="H974">
        <v>4</v>
      </c>
      <c r="I974" t="str" cm="1">
        <f t="array" ref="I974">_xlfn.IFS(H974&lt;=5, "0-5", H974&lt;=10, "6-10", H974&lt;=15, "11-15", H974&lt;=20, "16-20", H974&gt;20, "21+")</f>
        <v>0-5</v>
      </c>
      <c r="J974">
        <v>30</v>
      </c>
      <c r="K974">
        <v>3.9</v>
      </c>
      <c r="L974" t="s">
        <v>2085</v>
      </c>
      <c r="M974" s="1">
        <v>0.9</v>
      </c>
    </row>
    <row r="975" spans="1:13" x14ac:dyDescent="0.3">
      <c r="A975" t="s">
        <v>2016</v>
      </c>
      <c r="B975" t="s">
        <v>2017</v>
      </c>
      <c r="C975" t="s">
        <v>93</v>
      </c>
      <c r="D975">
        <v>35</v>
      </c>
      <c r="E975" t="s">
        <v>108</v>
      </c>
      <c r="F975" t="s">
        <v>109</v>
      </c>
      <c r="G975" t="s">
        <v>85</v>
      </c>
      <c r="H975">
        <v>4</v>
      </c>
      <c r="I975" t="str" cm="1">
        <f t="array" ref="I975">_xlfn.IFS(H975&lt;=5, "0-5", H975&lt;=10, "6-10", H975&lt;=15, "11-15", H975&lt;=20, "16-20", H975&gt;20, "21+")</f>
        <v>0-5</v>
      </c>
      <c r="J975">
        <v>30</v>
      </c>
      <c r="K975">
        <v>1.6</v>
      </c>
      <c r="L975" t="s">
        <v>2086</v>
      </c>
      <c r="M975" s="1">
        <v>0.67</v>
      </c>
    </row>
    <row r="976" spans="1:13" x14ac:dyDescent="0.3">
      <c r="A976" t="s">
        <v>2018</v>
      </c>
      <c r="B976" t="s">
        <v>2019</v>
      </c>
      <c r="C976" t="s">
        <v>73</v>
      </c>
      <c r="D976">
        <v>43</v>
      </c>
      <c r="E976" t="s">
        <v>184</v>
      </c>
      <c r="F976" t="s">
        <v>68</v>
      </c>
      <c r="G976" t="s">
        <v>16</v>
      </c>
      <c r="H976">
        <v>2</v>
      </c>
      <c r="I976" t="str" cm="1">
        <f t="array" ref="I976">_xlfn.IFS(H976&lt;=5, "0-5", H976&lt;=10, "6-10", H976&lt;=15, "11-15", H976&lt;=20, "16-20", H976&gt;20, "21+")</f>
        <v>0-5</v>
      </c>
      <c r="K976">
        <v>1.8</v>
      </c>
      <c r="L976" t="s">
        <v>2085</v>
      </c>
      <c r="M976" s="1">
        <v>0.61</v>
      </c>
    </row>
    <row r="977" spans="1:13" x14ac:dyDescent="0.3">
      <c r="A977" t="s">
        <v>2020</v>
      </c>
      <c r="B977" t="s">
        <v>2021</v>
      </c>
      <c r="C977" t="s">
        <v>93</v>
      </c>
      <c r="D977">
        <v>53</v>
      </c>
      <c r="E977" t="s">
        <v>108</v>
      </c>
      <c r="F977" t="s">
        <v>109</v>
      </c>
      <c r="G977" t="s">
        <v>110</v>
      </c>
      <c r="H977">
        <v>37</v>
      </c>
      <c r="I977" t="str" cm="1">
        <f t="array" ref="I977">_xlfn.IFS(H977&lt;=5, "0-5", H977&lt;=10, "6-10", H977&lt;=15, "11-15", H977&lt;=20, "16-20", H977&gt;20, "21+")</f>
        <v>21+</v>
      </c>
      <c r="J977">
        <v>100</v>
      </c>
      <c r="K977">
        <v>3.7</v>
      </c>
      <c r="L977" t="s">
        <v>2085</v>
      </c>
      <c r="M977" s="1">
        <v>0.73</v>
      </c>
    </row>
    <row r="978" spans="1:13" x14ac:dyDescent="0.3">
      <c r="A978" t="s">
        <v>2022</v>
      </c>
      <c r="B978" t="s">
        <v>2023</v>
      </c>
      <c r="C978" t="s">
        <v>73</v>
      </c>
      <c r="D978">
        <v>38</v>
      </c>
      <c r="E978" t="s">
        <v>119</v>
      </c>
      <c r="F978" t="s">
        <v>120</v>
      </c>
      <c r="G978" t="s">
        <v>85</v>
      </c>
      <c r="H978">
        <v>32</v>
      </c>
      <c r="I978" t="str" cm="1">
        <f t="array" ref="I978">_xlfn.IFS(H978&lt;=5, "0-5", H978&lt;=10, "6-10", H978&lt;=15, "11-15", H978&lt;=20, "16-20", H978&gt;20, "21+")</f>
        <v>21+</v>
      </c>
      <c r="J978">
        <v>75</v>
      </c>
      <c r="L978" t="s">
        <v>2085</v>
      </c>
    </row>
    <row r="979" spans="1:13" x14ac:dyDescent="0.3">
      <c r="A979" t="s">
        <v>2024</v>
      </c>
      <c r="B979" t="s">
        <v>2025</v>
      </c>
      <c r="C979" t="s">
        <v>93</v>
      </c>
      <c r="D979">
        <v>57</v>
      </c>
      <c r="E979" t="s">
        <v>63</v>
      </c>
      <c r="F979" t="s">
        <v>21</v>
      </c>
      <c r="G979" t="s">
        <v>74</v>
      </c>
      <c r="H979">
        <v>8</v>
      </c>
      <c r="I979" t="str" cm="1">
        <f t="array" ref="I979">_xlfn.IFS(H979&lt;=5, "0-5", H979&lt;=10, "6-10", H979&lt;=15, "11-15", H979&lt;=20, "16-20", H979&gt;20, "21+")</f>
        <v>6-10</v>
      </c>
      <c r="J979">
        <v>75</v>
      </c>
      <c r="K979">
        <v>4.0999999999999996</v>
      </c>
      <c r="L979" t="s">
        <v>2085</v>
      </c>
      <c r="M979" s="1">
        <v>0.9</v>
      </c>
    </row>
    <row r="980" spans="1:13" x14ac:dyDescent="0.3">
      <c r="A980" t="s">
        <v>2026</v>
      </c>
      <c r="B980" t="s">
        <v>2027</v>
      </c>
      <c r="C980" t="s">
        <v>93</v>
      </c>
      <c r="D980">
        <v>27</v>
      </c>
      <c r="E980" t="s">
        <v>169</v>
      </c>
      <c r="F980" t="s">
        <v>170</v>
      </c>
      <c r="G980" t="s">
        <v>16</v>
      </c>
      <c r="H980">
        <v>8</v>
      </c>
      <c r="I980" t="str" cm="1">
        <f t="array" ref="I980">_xlfn.IFS(H980&lt;=5, "0-5", H980&lt;=10, "6-10", H980&lt;=15, "11-15", H980&lt;=20, "16-20", H980&gt;20, "21+")</f>
        <v>6-10</v>
      </c>
      <c r="J980">
        <v>75</v>
      </c>
      <c r="K980">
        <v>1.4</v>
      </c>
      <c r="L980" t="s">
        <v>2086</v>
      </c>
      <c r="M980" s="1">
        <v>0.64</v>
      </c>
    </row>
    <row r="981" spans="1:13" x14ac:dyDescent="0.3">
      <c r="A981" t="s">
        <v>2028</v>
      </c>
      <c r="B981" t="s">
        <v>2029</v>
      </c>
      <c r="C981" t="s">
        <v>93</v>
      </c>
      <c r="D981">
        <v>43</v>
      </c>
      <c r="E981" t="s">
        <v>67</v>
      </c>
      <c r="F981" t="s">
        <v>68</v>
      </c>
      <c r="G981" t="s">
        <v>34</v>
      </c>
      <c r="H981">
        <v>13</v>
      </c>
      <c r="I981" t="str" cm="1">
        <f t="array" ref="I981">_xlfn.IFS(H981&lt;=5, "0-5", H981&lt;=10, "6-10", H981&lt;=15, "11-15", H981&lt;=20, "16-20", H981&gt;20, "21+")</f>
        <v>11-15</v>
      </c>
      <c r="J981">
        <v>100</v>
      </c>
      <c r="K981">
        <v>1.1000000000000001</v>
      </c>
      <c r="L981" t="s">
        <v>2086</v>
      </c>
      <c r="M981" s="1">
        <v>0.63</v>
      </c>
    </row>
    <row r="982" spans="1:13" x14ac:dyDescent="0.3">
      <c r="A982" t="s">
        <v>2030</v>
      </c>
      <c r="B982" t="s">
        <v>2031</v>
      </c>
      <c r="C982" t="s">
        <v>93</v>
      </c>
      <c r="D982">
        <v>48</v>
      </c>
      <c r="E982" t="s">
        <v>123</v>
      </c>
      <c r="F982" t="s">
        <v>21</v>
      </c>
      <c r="G982" t="s">
        <v>48</v>
      </c>
      <c r="H982">
        <v>6</v>
      </c>
      <c r="I982" t="str" cm="1">
        <f t="array" ref="I982">_xlfn.IFS(H982&lt;=5, "0-5", H982&lt;=10, "6-10", H982&lt;=15, "11-15", H982&lt;=20, "16-20", H982&gt;20, "21+")</f>
        <v>6-10</v>
      </c>
      <c r="J982">
        <v>40</v>
      </c>
      <c r="K982">
        <v>3.9</v>
      </c>
    </row>
    <row r="983" spans="1:13" x14ac:dyDescent="0.3">
      <c r="A983" t="s">
        <v>2032</v>
      </c>
      <c r="B983" t="s">
        <v>2033</v>
      </c>
      <c r="C983" t="s">
        <v>93</v>
      </c>
      <c r="D983">
        <v>26</v>
      </c>
      <c r="E983" t="s">
        <v>103</v>
      </c>
      <c r="F983" t="s">
        <v>104</v>
      </c>
      <c r="G983" t="s">
        <v>74</v>
      </c>
      <c r="H983">
        <v>15</v>
      </c>
      <c r="I983" t="str" cm="1">
        <f t="array" ref="I983">_xlfn.IFS(H983&lt;=5, "0-5", H983&lt;=10, "6-10", H983&lt;=15, "11-15", H983&lt;=20, "16-20", H983&gt;20, "21+")</f>
        <v>11-15</v>
      </c>
      <c r="J983">
        <v>20</v>
      </c>
      <c r="K983">
        <v>3.6</v>
      </c>
      <c r="L983" t="s">
        <v>2085</v>
      </c>
      <c r="M983" s="1">
        <v>0.67</v>
      </c>
    </row>
    <row r="984" spans="1:13" x14ac:dyDescent="0.3">
      <c r="A984" t="s">
        <v>2034</v>
      </c>
      <c r="B984" t="s">
        <v>2035</v>
      </c>
      <c r="C984" t="s">
        <v>73</v>
      </c>
      <c r="E984" t="s">
        <v>148</v>
      </c>
      <c r="F984" t="s">
        <v>149</v>
      </c>
      <c r="G984" t="s">
        <v>29</v>
      </c>
      <c r="H984">
        <v>22</v>
      </c>
      <c r="I984" t="str" cm="1">
        <f t="array" ref="I984">_xlfn.IFS(H984&lt;=5, "0-5", H984&lt;=10, "6-10", H984&lt;=15, "11-15", H984&lt;=20, "16-20", H984&gt;20, "21+")</f>
        <v>21+</v>
      </c>
      <c r="J984">
        <v>40</v>
      </c>
      <c r="K984">
        <v>0</v>
      </c>
      <c r="L984" t="s">
        <v>2085</v>
      </c>
      <c r="M984" s="1">
        <v>0.97</v>
      </c>
    </row>
    <row r="985" spans="1:13" x14ac:dyDescent="0.3">
      <c r="A985" t="s">
        <v>2036</v>
      </c>
      <c r="B985" t="s">
        <v>2116</v>
      </c>
      <c r="C985" t="s">
        <v>73</v>
      </c>
      <c r="D985">
        <v>50</v>
      </c>
      <c r="E985" t="s">
        <v>14</v>
      </c>
      <c r="F985" t="s">
        <v>15</v>
      </c>
      <c r="G985" t="s">
        <v>48</v>
      </c>
      <c r="H985">
        <v>18</v>
      </c>
      <c r="I985" t="str" cm="1">
        <f t="array" ref="I985">_xlfn.IFS(H985&lt;=5, "0-5", H985&lt;=10, "6-10", H985&lt;=15, "11-15", H985&lt;=20, "16-20", H985&gt;20, "21+")</f>
        <v>16-20</v>
      </c>
      <c r="J985">
        <v>75</v>
      </c>
      <c r="K985">
        <v>4.5</v>
      </c>
      <c r="L985" t="s">
        <v>2085</v>
      </c>
      <c r="M985" s="1">
        <v>0.69</v>
      </c>
    </row>
    <row r="986" spans="1:13" x14ac:dyDescent="0.3">
      <c r="A986" t="s">
        <v>2038</v>
      </c>
      <c r="B986" t="s">
        <v>2039</v>
      </c>
      <c r="C986" t="s">
        <v>93</v>
      </c>
      <c r="D986">
        <v>48</v>
      </c>
      <c r="E986" t="s">
        <v>148</v>
      </c>
      <c r="F986" t="s">
        <v>149</v>
      </c>
      <c r="G986" t="s">
        <v>34</v>
      </c>
      <c r="I986" t="str" cm="1">
        <f t="array" ref="I986">_xlfn.IFS(H986&lt;=5, "0-5", H986&lt;=10, "6-10", H986&lt;=15, "11-15", H986&lt;=20, "16-20", H986&gt;20, "21+")</f>
        <v>0-5</v>
      </c>
      <c r="J986">
        <v>50</v>
      </c>
      <c r="L986" t="s">
        <v>2086</v>
      </c>
      <c r="M986" s="1">
        <v>0.73</v>
      </c>
    </row>
    <row r="987" spans="1:13" x14ac:dyDescent="0.3">
      <c r="A987" t="s">
        <v>2040</v>
      </c>
      <c r="B987" t="s">
        <v>2041</v>
      </c>
      <c r="C987" t="s">
        <v>93</v>
      </c>
      <c r="D987">
        <v>60</v>
      </c>
      <c r="E987" t="s">
        <v>184</v>
      </c>
      <c r="F987" t="s">
        <v>68</v>
      </c>
      <c r="G987" t="s">
        <v>16</v>
      </c>
      <c r="I987" t="str" cm="1">
        <f t="array" ref="I987">_xlfn.IFS(H987&lt;=5, "0-5", H987&lt;=10, "6-10", H987&lt;=15, "11-15", H987&lt;=20, "16-20", H987&gt;20, "21+")</f>
        <v>0-5</v>
      </c>
      <c r="J987">
        <v>20</v>
      </c>
      <c r="K987">
        <v>1.4</v>
      </c>
      <c r="L987" t="s">
        <v>2086</v>
      </c>
      <c r="M987" s="1">
        <v>0.86</v>
      </c>
    </row>
    <row r="988" spans="1:13" x14ac:dyDescent="0.3">
      <c r="A988" t="s">
        <v>2042</v>
      </c>
      <c r="B988" t="s">
        <v>2043</v>
      </c>
      <c r="C988" t="s">
        <v>93</v>
      </c>
      <c r="D988">
        <v>26</v>
      </c>
      <c r="E988" t="s">
        <v>134</v>
      </c>
      <c r="F988" t="s">
        <v>135</v>
      </c>
      <c r="G988" t="s">
        <v>110</v>
      </c>
      <c r="I988" t="str" cm="1">
        <f t="array" ref="I988">_xlfn.IFS(H988&lt;=5, "0-5", H988&lt;=10, "6-10", H988&lt;=15, "11-15", H988&lt;=20, "16-20", H988&gt;20, "21+")</f>
        <v>0-5</v>
      </c>
      <c r="J988">
        <v>50</v>
      </c>
      <c r="K988">
        <v>0</v>
      </c>
      <c r="L988" t="s">
        <v>2086</v>
      </c>
      <c r="M988" s="1">
        <v>0.81</v>
      </c>
    </row>
    <row r="989" spans="1:13" x14ac:dyDescent="0.3">
      <c r="A989" t="s">
        <v>2044</v>
      </c>
      <c r="B989" t="s">
        <v>2045</v>
      </c>
      <c r="C989" t="s">
        <v>73</v>
      </c>
      <c r="D989">
        <v>35</v>
      </c>
      <c r="E989" t="s">
        <v>108</v>
      </c>
      <c r="F989" t="s">
        <v>109</v>
      </c>
      <c r="G989" t="s">
        <v>29</v>
      </c>
      <c r="I989" t="str" cm="1">
        <f t="array" ref="I989">_xlfn.IFS(H989&lt;=5, "0-5", H989&lt;=10, "6-10", H989&lt;=15, "11-15", H989&lt;=20, "16-20", H989&gt;20, "21+")</f>
        <v>0-5</v>
      </c>
      <c r="J989">
        <v>100</v>
      </c>
      <c r="K989">
        <v>4.3</v>
      </c>
      <c r="L989" t="s">
        <v>2086</v>
      </c>
      <c r="M989" s="1">
        <v>0.74</v>
      </c>
    </row>
    <row r="990" spans="1:13" x14ac:dyDescent="0.3">
      <c r="A990" t="s">
        <v>2046</v>
      </c>
      <c r="B990" t="s">
        <v>2047</v>
      </c>
      <c r="C990" t="s">
        <v>93</v>
      </c>
      <c r="D990">
        <v>23</v>
      </c>
      <c r="E990" t="s">
        <v>55</v>
      </c>
      <c r="F990" t="s">
        <v>21</v>
      </c>
      <c r="G990" t="s">
        <v>16</v>
      </c>
      <c r="I990" t="str" cm="1">
        <f t="array" ref="I990">_xlfn.IFS(H990&lt;=5, "0-5", H990&lt;=10, "6-10", H990&lt;=15, "11-15", H990&lt;=20, "16-20", H990&gt;20, "21+")</f>
        <v>0-5</v>
      </c>
      <c r="J990">
        <v>100</v>
      </c>
      <c r="K990">
        <v>2.2000000000000002</v>
      </c>
      <c r="L990" t="s">
        <v>2086</v>
      </c>
      <c r="M990" s="1">
        <v>0.64</v>
      </c>
    </row>
    <row r="991" spans="1:13" x14ac:dyDescent="0.3">
      <c r="A991" t="s">
        <v>2048</v>
      </c>
      <c r="B991" t="s">
        <v>2049</v>
      </c>
      <c r="C991" t="s">
        <v>93</v>
      </c>
      <c r="D991">
        <v>37</v>
      </c>
      <c r="E991" t="s">
        <v>20</v>
      </c>
      <c r="F991" t="s">
        <v>21</v>
      </c>
      <c r="G991" t="s">
        <v>29</v>
      </c>
      <c r="I991" t="str" cm="1">
        <f t="array" ref="I991">_xlfn.IFS(H991&lt;=5, "0-5", H991&lt;=10, "6-10", H991&lt;=15, "11-15", H991&lt;=20, "16-20", H991&gt;20, "21+")</f>
        <v>0-5</v>
      </c>
      <c r="J991">
        <v>75</v>
      </c>
      <c r="K991">
        <v>3.2</v>
      </c>
      <c r="L991" t="s">
        <v>2085</v>
      </c>
      <c r="M991" s="1">
        <v>0.76</v>
      </c>
    </row>
    <row r="992" spans="1:13" x14ac:dyDescent="0.3">
      <c r="A992" t="s">
        <v>2050</v>
      </c>
      <c r="B992" t="s">
        <v>2051</v>
      </c>
      <c r="C992" t="s">
        <v>73</v>
      </c>
      <c r="D992">
        <v>21</v>
      </c>
      <c r="E992" t="s">
        <v>67</v>
      </c>
      <c r="F992" t="s">
        <v>68</v>
      </c>
      <c r="G992" t="s">
        <v>42</v>
      </c>
      <c r="I992" t="str" cm="1">
        <f t="array" ref="I992">_xlfn.IFS(H992&lt;=5, "0-5", H992&lt;=10, "6-10", H992&lt;=15, "11-15", H992&lt;=20, "16-20", H992&gt;20, "21+")</f>
        <v>0-5</v>
      </c>
      <c r="J992">
        <v>100</v>
      </c>
      <c r="K992">
        <v>3.7</v>
      </c>
      <c r="L992" t="s">
        <v>2086</v>
      </c>
      <c r="M992" s="1">
        <v>0.73</v>
      </c>
    </row>
    <row r="993" spans="1:13" x14ac:dyDescent="0.3">
      <c r="A993" t="s">
        <v>2052</v>
      </c>
      <c r="B993" t="s">
        <v>2053</v>
      </c>
      <c r="C993" t="s">
        <v>73</v>
      </c>
      <c r="D993">
        <v>58</v>
      </c>
      <c r="E993" t="s">
        <v>27</v>
      </c>
      <c r="F993" t="s">
        <v>28</v>
      </c>
      <c r="G993" t="s">
        <v>69</v>
      </c>
      <c r="I993" t="str" cm="1">
        <f t="array" ref="I993">_xlfn.IFS(H993&lt;=5, "0-5", H993&lt;=10, "6-10", H993&lt;=15, "11-15", H993&lt;=20, "16-20", H993&gt;20, "21+")</f>
        <v>0-5</v>
      </c>
      <c r="J993">
        <v>50</v>
      </c>
      <c r="K993">
        <v>4.9000000000000004</v>
      </c>
      <c r="L993" t="s">
        <v>2085</v>
      </c>
      <c r="M993" s="1">
        <v>0.69</v>
      </c>
    </row>
    <row r="994" spans="1:13" x14ac:dyDescent="0.3">
      <c r="A994" t="s">
        <v>2054</v>
      </c>
      <c r="B994" t="s">
        <v>2055</v>
      </c>
      <c r="C994" t="s">
        <v>73</v>
      </c>
      <c r="D994">
        <v>52</v>
      </c>
      <c r="E994" t="s">
        <v>46</v>
      </c>
      <c r="F994" t="s">
        <v>47</v>
      </c>
      <c r="G994" t="s">
        <v>22</v>
      </c>
      <c r="I994" t="str" cm="1">
        <f t="array" ref="I994">_xlfn.IFS(H994&lt;=5, "0-5", H994&lt;=10, "6-10", H994&lt;=15, "11-15", H994&lt;=20, "16-20", H994&gt;20, "21+")</f>
        <v>0-5</v>
      </c>
      <c r="J994">
        <v>75</v>
      </c>
      <c r="K994">
        <v>3.2</v>
      </c>
      <c r="L994" t="s">
        <v>2085</v>
      </c>
      <c r="M994" s="1">
        <v>0.79</v>
      </c>
    </row>
    <row r="995" spans="1:13" x14ac:dyDescent="0.3">
      <c r="A995" t="s">
        <v>2056</v>
      </c>
      <c r="B995" t="s">
        <v>2057</v>
      </c>
      <c r="C995" t="s">
        <v>93</v>
      </c>
      <c r="D995">
        <v>46</v>
      </c>
      <c r="E995" t="s">
        <v>119</v>
      </c>
      <c r="F995" t="s">
        <v>120</v>
      </c>
      <c r="G995" t="s">
        <v>22</v>
      </c>
      <c r="I995" t="str" cm="1">
        <f t="array" ref="I995">_xlfn.IFS(H995&lt;=5, "0-5", H995&lt;=10, "6-10", H995&lt;=15, "11-15", H995&lt;=20, "16-20", H995&gt;20, "21+")</f>
        <v>0-5</v>
      </c>
      <c r="J995">
        <v>20</v>
      </c>
      <c r="K995">
        <v>2.2000000000000002</v>
      </c>
      <c r="M995" s="1">
        <v>0.89</v>
      </c>
    </row>
    <row r="996" spans="1:13" x14ac:dyDescent="0.3">
      <c r="A996" t="s">
        <v>2058</v>
      </c>
      <c r="B996" t="s">
        <v>2059</v>
      </c>
      <c r="C996" t="s">
        <v>73</v>
      </c>
      <c r="D996">
        <v>34</v>
      </c>
      <c r="E996" t="s">
        <v>148</v>
      </c>
      <c r="F996" t="s">
        <v>149</v>
      </c>
      <c r="G996" t="s">
        <v>85</v>
      </c>
      <c r="I996" t="str" cm="1">
        <f t="array" ref="I996">_xlfn.IFS(H996&lt;=5, "0-5", H996&lt;=10, "6-10", H996&lt;=15, "11-15", H996&lt;=20, "16-20", H996&gt;20, "21+")</f>
        <v>0-5</v>
      </c>
      <c r="J996">
        <v>30</v>
      </c>
      <c r="K996">
        <v>3.9</v>
      </c>
      <c r="L996" t="s">
        <v>2086</v>
      </c>
      <c r="M996" s="1">
        <v>0.95</v>
      </c>
    </row>
    <row r="997" spans="1:13" x14ac:dyDescent="0.3">
      <c r="A997" t="s">
        <v>2060</v>
      </c>
      <c r="B997" t="s">
        <v>2061</v>
      </c>
      <c r="C997" t="s">
        <v>93</v>
      </c>
      <c r="D997">
        <v>56</v>
      </c>
      <c r="E997" t="s">
        <v>59</v>
      </c>
      <c r="F997" t="s">
        <v>60</v>
      </c>
      <c r="G997" t="s">
        <v>85</v>
      </c>
      <c r="I997" t="str" cm="1">
        <f t="array" ref="I997">_xlfn.IFS(H997&lt;=5, "0-5", H997&lt;=10, "6-10", H997&lt;=15, "11-15", H997&lt;=20, "16-20", H997&gt;20, "21+")</f>
        <v>0-5</v>
      </c>
      <c r="J997">
        <v>100</v>
      </c>
      <c r="K997">
        <v>0</v>
      </c>
      <c r="L997" t="s">
        <v>2085</v>
      </c>
      <c r="M997" s="1">
        <v>0.68</v>
      </c>
    </row>
    <row r="998" spans="1:13" x14ac:dyDescent="0.3">
      <c r="A998" t="s">
        <v>2062</v>
      </c>
      <c r="B998" t="s">
        <v>2063</v>
      </c>
      <c r="C998" t="s">
        <v>73</v>
      </c>
      <c r="D998">
        <v>26</v>
      </c>
      <c r="E998" t="s">
        <v>27</v>
      </c>
      <c r="F998" t="s">
        <v>28</v>
      </c>
      <c r="G998" t="s">
        <v>16</v>
      </c>
      <c r="I998" t="str" cm="1">
        <f t="array" ref="I998">_xlfn.IFS(H998&lt;=5, "0-5", H998&lt;=10, "6-10", H998&lt;=15, "11-15", H998&lt;=20, "16-20", H998&gt;20, "21+")</f>
        <v>0-5</v>
      </c>
      <c r="J998">
        <v>40</v>
      </c>
      <c r="K998">
        <v>2.8</v>
      </c>
      <c r="L998" t="s">
        <v>2085</v>
      </c>
      <c r="M998" s="1">
        <v>0.82</v>
      </c>
    </row>
    <row r="999" spans="1:13" x14ac:dyDescent="0.3">
      <c r="A999" t="s">
        <v>2064</v>
      </c>
      <c r="B999" t="s">
        <v>2065</v>
      </c>
      <c r="C999" t="s">
        <v>73</v>
      </c>
      <c r="D999">
        <v>37</v>
      </c>
      <c r="E999" t="s">
        <v>81</v>
      </c>
      <c r="F999" t="s">
        <v>82</v>
      </c>
      <c r="G999" t="s">
        <v>48</v>
      </c>
      <c r="I999" t="str" cm="1">
        <f t="array" ref="I999">_xlfn.IFS(H999&lt;=5, "0-5", H999&lt;=10, "6-10", H999&lt;=15, "11-15", H999&lt;=20, "16-20", H999&gt;20, "21+")</f>
        <v>0-5</v>
      </c>
      <c r="J999">
        <v>75</v>
      </c>
      <c r="L999" t="s">
        <v>2085</v>
      </c>
      <c r="M999" s="1">
        <v>0.94</v>
      </c>
    </row>
    <row r="1000" spans="1:13" x14ac:dyDescent="0.3">
      <c r="A1000" t="s">
        <v>2066</v>
      </c>
      <c r="B1000" t="s">
        <v>2067</v>
      </c>
      <c r="C1000" t="s">
        <v>93</v>
      </c>
      <c r="D1000">
        <v>46</v>
      </c>
      <c r="E1000" t="s">
        <v>119</v>
      </c>
      <c r="F1000" t="s">
        <v>120</v>
      </c>
      <c r="G1000" t="s">
        <v>110</v>
      </c>
      <c r="I1000" t="str" cm="1">
        <f t="array" ref="I1000">_xlfn.IFS(H1000&lt;=5, "0-5", H1000&lt;=10, "6-10", H1000&lt;=15, "11-15", H1000&lt;=20, "16-20", H1000&gt;20, "21+")</f>
        <v>0-5</v>
      </c>
      <c r="J1000">
        <v>100</v>
      </c>
      <c r="K1000">
        <v>2.8</v>
      </c>
      <c r="L1000" t="s">
        <v>2086</v>
      </c>
      <c r="M1000" s="1">
        <v>0.97</v>
      </c>
    </row>
    <row r="1001" spans="1:13" x14ac:dyDescent="0.3">
      <c r="A1001" t="s">
        <v>2068</v>
      </c>
      <c r="B1001" t="s">
        <v>2069</v>
      </c>
      <c r="C1001" t="s">
        <v>73</v>
      </c>
      <c r="D1001">
        <v>36</v>
      </c>
      <c r="E1001" t="s">
        <v>173</v>
      </c>
      <c r="F1001" t="s">
        <v>68</v>
      </c>
      <c r="G1001" t="s">
        <v>69</v>
      </c>
      <c r="I1001" t="str" cm="1">
        <f t="array" ref="I1001">_xlfn.IFS(H1001&lt;=5, "0-5", H1001&lt;=10, "6-10", H1001&lt;=15, "11-15", H1001&lt;=20, "16-20", H1001&gt;20, "21+")</f>
        <v>0-5</v>
      </c>
      <c r="J1001">
        <v>20</v>
      </c>
      <c r="K1001">
        <v>1.7</v>
      </c>
      <c r="L1001" t="s">
        <v>2086</v>
      </c>
      <c r="M1001" s="1">
        <v>0.72</v>
      </c>
    </row>
  </sheetData>
  <autoFilter ref="E1:E1001" xr:uid="{28356AC1-E721-4A43-9845-AC62D6BEF55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F7FC-1574-43BD-8DA6-28BF577E0ABA}">
  <dimension ref="B3:T33"/>
  <sheetViews>
    <sheetView topLeftCell="M1" zoomScale="80" workbookViewId="0">
      <selection activeCell="R37" sqref="R37"/>
    </sheetView>
  </sheetViews>
  <sheetFormatPr defaultRowHeight="14.4" x14ac:dyDescent="0.3"/>
  <cols>
    <col min="2" max="2" width="22.77734375" bestFit="1" customWidth="1"/>
    <col min="3" max="3" width="16.21875" bestFit="1" customWidth="1"/>
    <col min="5" max="5" width="11" bestFit="1" customWidth="1"/>
    <col min="6" max="6" width="21.109375" bestFit="1" customWidth="1"/>
    <col min="8" max="8" width="22.77734375" bestFit="1" customWidth="1"/>
    <col min="9" max="9" width="21.109375" bestFit="1" customWidth="1"/>
    <col min="11" max="11" width="13.33203125" bestFit="1" customWidth="1"/>
    <col min="12" max="12" width="21.109375" bestFit="1" customWidth="1"/>
    <col min="14" max="14" width="15" bestFit="1" customWidth="1"/>
    <col min="15" max="15" width="21.109375" bestFit="1" customWidth="1"/>
  </cols>
  <sheetData>
    <row r="3" spans="2:20" x14ac:dyDescent="0.3">
      <c r="B3" s="3" t="s">
        <v>2127</v>
      </c>
      <c r="C3" t="s">
        <v>2119</v>
      </c>
      <c r="E3" s="3" t="s">
        <v>2126</v>
      </c>
      <c r="F3" t="s">
        <v>2125</v>
      </c>
      <c r="H3" s="3" t="s">
        <v>2078</v>
      </c>
      <c r="I3" t="s">
        <v>2128</v>
      </c>
      <c r="K3" s="3" t="s">
        <v>2117</v>
      </c>
      <c r="L3" t="s">
        <v>2125</v>
      </c>
      <c r="N3" s="3" t="s">
        <v>2117</v>
      </c>
      <c r="O3" t="s">
        <v>2125</v>
      </c>
    </row>
    <row r="4" spans="2:20" x14ac:dyDescent="0.3">
      <c r="B4" s="4" t="s">
        <v>85</v>
      </c>
      <c r="C4" s="5">
        <v>2.8106796116504866</v>
      </c>
      <c r="E4" s="4" t="s">
        <v>2120</v>
      </c>
      <c r="F4" s="1">
        <v>0.4</v>
      </c>
      <c r="H4" s="4" t="s">
        <v>74</v>
      </c>
      <c r="I4" s="9">
        <v>54.367088607594937</v>
      </c>
      <c r="K4" s="4" t="s">
        <v>21</v>
      </c>
      <c r="L4" s="6">
        <v>215</v>
      </c>
      <c r="N4" s="4" t="s">
        <v>108</v>
      </c>
      <c r="O4" s="6">
        <v>68</v>
      </c>
    </row>
    <row r="5" spans="2:20" x14ac:dyDescent="0.3">
      <c r="B5" s="4" t="s">
        <v>110</v>
      </c>
      <c r="C5" s="5">
        <v>2.5741176470588236</v>
      </c>
      <c r="E5" s="4" t="s">
        <v>2121</v>
      </c>
      <c r="F5" s="1">
        <v>0.17599999999999999</v>
      </c>
      <c r="H5" s="4" t="s">
        <v>34</v>
      </c>
      <c r="I5" s="9">
        <v>54.10526315789474</v>
      </c>
      <c r="K5" s="4" t="s">
        <v>68</v>
      </c>
      <c r="L5" s="6">
        <v>142</v>
      </c>
      <c r="N5" s="4" t="s">
        <v>123</v>
      </c>
      <c r="O5" s="6">
        <v>65</v>
      </c>
    </row>
    <row r="6" spans="2:20" x14ac:dyDescent="0.3">
      <c r="B6" s="4" t="s">
        <v>22</v>
      </c>
      <c r="C6" s="5">
        <v>2.5476744186046507</v>
      </c>
      <c r="E6" s="4" t="s">
        <v>2124</v>
      </c>
      <c r="F6" s="1">
        <v>0.154</v>
      </c>
      <c r="H6" s="4" t="s">
        <v>85</v>
      </c>
      <c r="I6" s="9">
        <v>53.970588235294116</v>
      </c>
      <c r="K6" s="4" t="s">
        <v>109</v>
      </c>
      <c r="L6" s="6">
        <v>68</v>
      </c>
      <c r="N6" s="4" t="s">
        <v>27</v>
      </c>
      <c r="O6" s="6">
        <v>52</v>
      </c>
    </row>
    <row r="7" spans="2:20" x14ac:dyDescent="0.3">
      <c r="B7" s="4" t="s">
        <v>69</v>
      </c>
      <c r="C7" s="5">
        <v>2.5237623762376242</v>
      </c>
      <c r="E7" s="4" t="s">
        <v>2122</v>
      </c>
      <c r="F7" s="1">
        <v>9.2999999999999999E-2</v>
      </c>
      <c r="H7" s="4" t="s">
        <v>69</v>
      </c>
      <c r="I7" s="9">
        <v>53.24742268041237</v>
      </c>
      <c r="K7" s="4" t="s">
        <v>28</v>
      </c>
      <c r="L7" s="6">
        <v>52</v>
      </c>
      <c r="N7" s="4" t="s">
        <v>20</v>
      </c>
      <c r="O7" s="6">
        <v>51</v>
      </c>
    </row>
    <row r="8" spans="2:20" x14ac:dyDescent="0.3">
      <c r="B8" s="4" t="s">
        <v>29</v>
      </c>
      <c r="C8" s="5">
        <v>2.5105882352941169</v>
      </c>
      <c r="E8" s="4" t="s">
        <v>2123</v>
      </c>
      <c r="F8" s="1">
        <v>0.17699999999999999</v>
      </c>
      <c r="H8" s="4" t="s">
        <v>42</v>
      </c>
      <c r="I8" s="9">
        <v>52.611111111111114</v>
      </c>
      <c r="K8" s="4" t="s">
        <v>41</v>
      </c>
      <c r="L8" s="6">
        <v>51</v>
      </c>
      <c r="N8" s="4" t="s">
        <v>40</v>
      </c>
      <c r="O8" s="6">
        <v>51</v>
      </c>
    </row>
    <row r="9" spans="2:20" x14ac:dyDescent="0.3">
      <c r="B9" s="4" t="s">
        <v>74</v>
      </c>
      <c r="C9" s="5">
        <v>2.4714285714285711</v>
      </c>
      <c r="E9" s="4" t="s">
        <v>2118</v>
      </c>
      <c r="F9" s="1">
        <v>1</v>
      </c>
      <c r="H9" s="4" t="s">
        <v>110</v>
      </c>
      <c r="I9" s="9">
        <v>52.356321839080458</v>
      </c>
      <c r="K9" s="4" t="s">
        <v>170</v>
      </c>
      <c r="L9" s="6">
        <v>49</v>
      </c>
      <c r="N9" s="4" t="s">
        <v>173</v>
      </c>
      <c r="O9" s="6">
        <v>50</v>
      </c>
    </row>
    <row r="10" spans="2:20" x14ac:dyDescent="0.3">
      <c r="B10" s="4" t="s">
        <v>34</v>
      </c>
      <c r="C10" s="5">
        <v>2.4361702127659566</v>
      </c>
      <c r="H10" s="4" t="s">
        <v>48</v>
      </c>
      <c r="I10" s="9">
        <v>51.612903225806448</v>
      </c>
      <c r="K10" s="4" t="s">
        <v>120</v>
      </c>
      <c r="L10" s="6">
        <v>47</v>
      </c>
      <c r="N10" s="4" t="s">
        <v>63</v>
      </c>
      <c r="O10" s="6">
        <v>50</v>
      </c>
    </row>
    <row r="11" spans="2:20" x14ac:dyDescent="0.3">
      <c r="B11" s="4" t="s">
        <v>48</v>
      </c>
      <c r="C11" s="5">
        <v>2.4267441860465122</v>
      </c>
      <c r="H11" s="4" t="s">
        <v>22</v>
      </c>
      <c r="I11" s="9">
        <v>51.505376344086024</v>
      </c>
      <c r="K11" s="4" t="s">
        <v>47</v>
      </c>
      <c r="L11" s="6">
        <v>46</v>
      </c>
      <c r="N11" s="4" t="s">
        <v>169</v>
      </c>
      <c r="O11" s="6">
        <v>49</v>
      </c>
    </row>
    <row r="12" spans="2:20" x14ac:dyDescent="0.3">
      <c r="B12" s="4" t="s">
        <v>42</v>
      </c>
      <c r="C12" s="5">
        <v>2.4168539325842695</v>
      </c>
      <c r="H12" s="4" t="s">
        <v>29</v>
      </c>
      <c r="I12" s="9">
        <v>50.460526315789473</v>
      </c>
      <c r="K12" s="4" t="s">
        <v>90</v>
      </c>
      <c r="L12" s="6">
        <v>45</v>
      </c>
      <c r="N12" s="4" t="s">
        <v>55</v>
      </c>
      <c r="O12" s="6">
        <v>49</v>
      </c>
    </row>
    <row r="13" spans="2:20" x14ac:dyDescent="0.3">
      <c r="B13" s="4" t="s">
        <v>16</v>
      </c>
      <c r="C13" s="5">
        <v>2.3655913978494625</v>
      </c>
      <c r="H13" s="4" t="s">
        <v>16</v>
      </c>
      <c r="I13" s="9">
        <v>50.106382978723403</v>
      </c>
      <c r="K13" s="4" t="s">
        <v>60</v>
      </c>
      <c r="L13" s="6">
        <v>45</v>
      </c>
      <c r="N13" s="4" t="s">
        <v>67</v>
      </c>
      <c r="O13" s="6">
        <v>47</v>
      </c>
      <c r="S13" s="4"/>
      <c r="T13" s="6"/>
    </row>
    <row r="14" spans="2:20" x14ac:dyDescent="0.3">
      <c r="B14" s="4" t="s">
        <v>2118</v>
      </c>
      <c r="C14" s="5">
        <v>2.5125695216907658</v>
      </c>
      <c r="H14" s="4" t="s">
        <v>2118</v>
      </c>
      <c r="I14" s="1">
        <v>52.461368653421637</v>
      </c>
      <c r="K14" s="4" t="s">
        <v>149</v>
      </c>
      <c r="L14" s="6">
        <v>44</v>
      </c>
      <c r="N14" s="4" t="s">
        <v>119</v>
      </c>
      <c r="O14" s="6">
        <v>47</v>
      </c>
      <c r="S14" s="4"/>
      <c r="T14" s="6"/>
    </row>
    <row r="15" spans="2:20" x14ac:dyDescent="0.3">
      <c r="K15" s="4" t="s">
        <v>131</v>
      </c>
      <c r="L15" s="6">
        <v>44</v>
      </c>
      <c r="N15" s="4" t="s">
        <v>46</v>
      </c>
      <c r="O15" s="6">
        <v>46</v>
      </c>
      <c r="S15" s="4"/>
      <c r="T15" s="6"/>
    </row>
    <row r="16" spans="2:20" x14ac:dyDescent="0.3">
      <c r="E16" s="3" t="s">
        <v>2074</v>
      </c>
      <c r="F16" t="s">
        <v>2125</v>
      </c>
      <c r="K16" s="4" t="s">
        <v>15</v>
      </c>
      <c r="L16" s="6">
        <v>42</v>
      </c>
      <c r="N16" s="4" t="s">
        <v>184</v>
      </c>
      <c r="O16" s="6">
        <v>45</v>
      </c>
      <c r="S16" s="4"/>
      <c r="T16" s="6"/>
    </row>
    <row r="17" spans="5:20" x14ac:dyDescent="0.3">
      <c r="E17" s="4" t="s">
        <v>73</v>
      </c>
      <c r="F17" s="7">
        <v>0.49</v>
      </c>
      <c r="K17" s="4" t="s">
        <v>135</v>
      </c>
      <c r="L17" s="6">
        <v>42</v>
      </c>
      <c r="N17" s="4" t="s">
        <v>59</v>
      </c>
      <c r="O17" s="6">
        <v>45</v>
      </c>
      <c r="S17" s="4"/>
      <c r="T17" s="6"/>
    </row>
    <row r="18" spans="5:20" x14ac:dyDescent="0.3">
      <c r="E18" s="4" t="s">
        <v>93</v>
      </c>
      <c r="F18" s="7">
        <v>0.51</v>
      </c>
      <c r="K18" s="4" t="s">
        <v>82</v>
      </c>
      <c r="L18" s="6">
        <v>37</v>
      </c>
      <c r="N18" s="4" t="s">
        <v>89</v>
      </c>
      <c r="O18" s="6">
        <v>45</v>
      </c>
      <c r="S18" s="4"/>
      <c r="T18" s="6"/>
    </row>
    <row r="19" spans="5:20" x14ac:dyDescent="0.3">
      <c r="E19" s="4" t="s">
        <v>2118</v>
      </c>
      <c r="F19" s="1">
        <v>1</v>
      </c>
      <c r="K19" s="4" t="s">
        <v>104</v>
      </c>
      <c r="L19" s="6">
        <v>31</v>
      </c>
      <c r="N19" s="4" t="s">
        <v>148</v>
      </c>
      <c r="O19" s="6">
        <v>44</v>
      </c>
      <c r="S19" s="4"/>
      <c r="T19" s="6"/>
    </row>
    <row r="20" spans="5:20" x14ac:dyDescent="0.3">
      <c r="K20" s="4" t="s">
        <v>2118</v>
      </c>
      <c r="L20" s="6">
        <v>1000</v>
      </c>
      <c r="N20" s="4" t="s">
        <v>130</v>
      </c>
      <c r="O20" s="6">
        <v>44</v>
      </c>
      <c r="S20" s="4"/>
      <c r="T20" s="6"/>
    </row>
    <row r="21" spans="5:20" x14ac:dyDescent="0.3">
      <c r="N21" s="4" t="s">
        <v>134</v>
      </c>
      <c r="O21" s="6">
        <v>42</v>
      </c>
      <c r="S21" s="4"/>
      <c r="T21" s="6"/>
    </row>
    <row r="22" spans="5:20" x14ac:dyDescent="0.3">
      <c r="N22" s="4" t="s">
        <v>14</v>
      </c>
      <c r="O22" s="6">
        <v>42</v>
      </c>
      <c r="S22" s="4"/>
      <c r="T22" s="6"/>
    </row>
    <row r="23" spans="5:20" x14ac:dyDescent="0.3">
      <c r="N23" s="4" t="s">
        <v>81</v>
      </c>
      <c r="O23" s="6">
        <v>37</v>
      </c>
      <c r="S23" s="4"/>
      <c r="T23" s="6"/>
    </row>
    <row r="24" spans="5:20" x14ac:dyDescent="0.3">
      <c r="N24" s="4" t="s">
        <v>103</v>
      </c>
      <c r="O24" s="6">
        <v>31</v>
      </c>
      <c r="S24" s="4"/>
      <c r="T24" s="6"/>
    </row>
    <row r="25" spans="5:20" x14ac:dyDescent="0.3">
      <c r="N25" s="4" t="s">
        <v>2118</v>
      </c>
      <c r="O25" s="6">
        <v>1000</v>
      </c>
      <c r="S25" s="4"/>
      <c r="T25" s="6"/>
    </row>
    <row r="26" spans="5:20" x14ac:dyDescent="0.3">
      <c r="S26" s="4"/>
      <c r="T26" s="6"/>
    </row>
    <row r="27" spans="5:20" x14ac:dyDescent="0.3">
      <c r="S27" s="4"/>
      <c r="T27" s="6"/>
    </row>
    <row r="28" spans="5:20" x14ac:dyDescent="0.3">
      <c r="S28" s="4"/>
      <c r="T28" s="6"/>
    </row>
    <row r="29" spans="5:20" x14ac:dyDescent="0.3">
      <c r="S29" s="4"/>
      <c r="T29" s="6"/>
    </row>
    <row r="30" spans="5:20" x14ac:dyDescent="0.3">
      <c r="S30" s="4"/>
      <c r="T30" s="6"/>
    </row>
    <row r="31" spans="5:20" x14ac:dyDescent="0.3">
      <c r="S31" s="4"/>
      <c r="T31" s="6"/>
    </row>
    <row r="32" spans="5:20" x14ac:dyDescent="0.3">
      <c r="S32" s="4"/>
      <c r="T32" s="6"/>
    </row>
    <row r="33" spans="19:20" x14ac:dyDescent="0.3">
      <c r="S33" s="4"/>
      <c r="T3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1458-EB7C-41AC-8E81-71439B742E1D}">
  <dimension ref="A1"/>
  <sheetViews>
    <sheetView showGridLines="0" tabSelected="1" zoomScale="79" workbookViewId="0">
      <selection activeCell="D34" sqref="D3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2025-11-19T12:18:13Z</dcterms:modified>
</cp:coreProperties>
</file>